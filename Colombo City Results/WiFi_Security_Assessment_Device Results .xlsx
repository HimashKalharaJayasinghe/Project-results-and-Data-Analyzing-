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imash's AORUS\Downloads\Final Year Project results and Data Analyzing and Source Code\"/>
    </mc:Choice>
  </mc:AlternateContent>
  <xr:revisionPtr revIDLastSave="0" documentId="13_ncr:1_{6B44C89F-F39C-4143-9518-3B7AABF81529}" xr6:coauthVersionLast="47" xr6:coauthVersionMax="47" xr10:uidLastSave="{00000000-0000-0000-0000-000000000000}"/>
  <bookViews>
    <workbookView xWindow="-120" yWindow="-120" windowWidth="25440" windowHeight="15270" tabRatio="500" firstSheet="12" activeTab="15" xr2:uid="{00000000-000D-0000-FFFF-FFFF00000000}"/>
  </bookViews>
  <sheets>
    <sheet name="📋 Instructions" sheetId="2" r:id="rId1"/>
    <sheet name="🗂️ Attack_Master_Index" sheetId="1" r:id="rId2"/>
    <sheet name="📡 Network_Inventory" sheetId="3" r:id="rId3"/>
    <sheet name="🔴 Raw_Attack_Data" sheetId="4" r:id="rId4"/>
    <sheet name="🟡 Single_AP_Deep_Dive" sheetId="5" r:id="rId5"/>
    <sheet name="📊 Scoring_Calculator" sheetId="6" r:id="rId6"/>
    <sheet name="📈 Comparison_Analysis" sheetId="7" r:id="rId7"/>
    <sheet name="📉 Charts_Dashboard" sheetId="8" r:id="rId8"/>
    <sheet name="🔐 WPA_WPA2_WPA3_Attacks" sheetId="10" r:id="rId9"/>
    <sheet name="👹 Evil_Twin_Attacks" sheetId="11" r:id="rId10"/>
    <sheet name="🎣 Phishing_Portal_Attacks" sheetId="12" r:id="rId11"/>
    <sheet name="🕵️ MITM_Attacks" sheetId="13" r:id="rId12"/>
    <sheet name="💥 DoS_Attacks" sheetId="14" r:id="rId13"/>
    <sheet name="📶 Bluetooth_Attacks" sheetId="15" r:id="rId14"/>
    <sheet name="🔌 Wired_Network_Attacks" sheetId="16" r:id="rId15"/>
    <sheet name="📊 Security_Charts" sheetId="17" r:id="rId16"/>
  </sheets>
  <externalReferences>
    <externalReference r:id="rId17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0" i="13" l="1"/>
  <c r="H219" i="13"/>
  <c r="H217" i="13"/>
  <c r="H216" i="13"/>
  <c r="H17" i="5"/>
  <c r="G196" i="15"/>
  <c r="F196" i="15"/>
  <c r="E196" i="15"/>
  <c r="G195" i="15"/>
  <c r="F195" i="15"/>
  <c r="E195" i="15"/>
  <c r="G194" i="15"/>
  <c r="F194" i="15"/>
  <c r="E194" i="15"/>
  <c r="G193" i="15"/>
  <c r="F193" i="15"/>
  <c r="E193" i="15"/>
  <c r="G192" i="15"/>
  <c r="F192" i="15"/>
  <c r="E192" i="15"/>
  <c r="G191" i="15"/>
  <c r="F191" i="15"/>
  <c r="E191" i="15"/>
  <c r="G190" i="15"/>
  <c r="F190" i="15"/>
  <c r="E190" i="15"/>
  <c r="G304" i="14"/>
  <c r="F304" i="14"/>
  <c r="E304" i="14"/>
  <c r="G303" i="14"/>
  <c r="F303" i="14"/>
  <c r="E303" i="14"/>
  <c r="G302" i="14"/>
  <c r="F302" i="14"/>
  <c r="E302" i="14"/>
  <c r="G301" i="14"/>
  <c r="F301" i="14"/>
  <c r="E301" i="14"/>
  <c r="G300" i="14"/>
  <c r="F300" i="14"/>
  <c r="E300" i="14"/>
  <c r="G299" i="14"/>
  <c r="F299" i="14"/>
  <c r="E299" i="14"/>
  <c r="G298" i="14"/>
  <c r="F298" i="14"/>
  <c r="E298" i="14"/>
  <c r="G297" i="14"/>
  <c r="F297" i="14"/>
  <c r="E297" i="14"/>
  <c r="G296" i="14"/>
  <c r="F296" i="14"/>
  <c r="E296" i="14"/>
  <c r="H295" i="14"/>
  <c r="G295" i="14"/>
  <c r="F295" i="14"/>
  <c r="E295" i="14"/>
  <c r="G294" i="14"/>
  <c r="F294" i="14"/>
  <c r="E294" i="14"/>
  <c r="G223" i="13"/>
  <c r="F223" i="13"/>
  <c r="E223" i="13"/>
  <c r="G222" i="13"/>
  <c r="F222" i="13"/>
  <c r="E222" i="13"/>
  <c r="G221" i="13"/>
  <c r="F221" i="13"/>
  <c r="E221" i="13"/>
  <c r="G220" i="13"/>
  <c r="F220" i="13"/>
  <c r="E220" i="13"/>
  <c r="G219" i="13"/>
  <c r="F219" i="13"/>
  <c r="E219" i="13"/>
  <c r="G218" i="13"/>
  <c r="F218" i="13"/>
  <c r="E218" i="13"/>
  <c r="G217" i="13"/>
  <c r="F217" i="13"/>
  <c r="E217" i="13"/>
  <c r="G216" i="13"/>
  <c r="F216" i="13"/>
  <c r="E216" i="13"/>
  <c r="G196" i="12"/>
  <c r="F196" i="12"/>
  <c r="E196" i="12"/>
  <c r="G195" i="12"/>
  <c r="F195" i="12"/>
  <c r="E195" i="12"/>
  <c r="G194" i="12"/>
  <c r="F194" i="12"/>
  <c r="E194" i="12"/>
  <c r="G193" i="12"/>
  <c r="F193" i="12"/>
  <c r="E193" i="12"/>
  <c r="G192" i="12"/>
  <c r="F192" i="12"/>
  <c r="E192" i="12"/>
  <c r="G191" i="12"/>
  <c r="F191" i="12"/>
  <c r="E191" i="12"/>
  <c r="G190" i="12"/>
  <c r="F190" i="12"/>
  <c r="E190" i="12"/>
  <c r="G174" i="11"/>
  <c r="F174" i="11"/>
  <c r="E174" i="11"/>
  <c r="G173" i="11"/>
  <c r="F173" i="11"/>
  <c r="E173" i="11"/>
  <c r="G172" i="11"/>
  <c r="F172" i="11"/>
  <c r="E172" i="11"/>
  <c r="G171" i="11"/>
  <c r="F171" i="11"/>
  <c r="E171" i="11"/>
  <c r="G170" i="11"/>
  <c r="F170" i="11"/>
  <c r="E170" i="11"/>
  <c r="G169" i="11"/>
  <c r="F169" i="11"/>
  <c r="E169" i="11"/>
  <c r="G277" i="10"/>
  <c r="F277" i="10"/>
  <c r="E277" i="10"/>
  <c r="G276" i="10"/>
  <c r="F276" i="10"/>
  <c r="E276" i="10"/>
  <c r="G275" i="10"/>
  <c r="F275" i="10"/>
  <c r="E275" i="10"/>
  <c r="G274" i="10"/>
  <c r="F274" i="10"/>
  <c r="E274" i="10"/>
  <c r="G273" i="10"/>
  <c r="F273" i="10"/>
  <c r="E273" i="10"/>
  <c r="G272" i="10"/>
  <c r="F272" i="10"/>
  <c r="E272" i="10"/>
  <c r="G271" i="10"/>
  <c r="F271" i="10"/>
  <c r="E271" i="10"/>
  <c r="G270" i="10"/>
  <c r="F270" i="10"/>
  <c r="E270" i="10"/>
  <c r="G269" i="10"/>
  <c r="F269" i="10"/>
  <c r="E269" i="10"/>
  <c r="G268" i="10"/>
  <c r="F268" i="10"/>
  <c r="E268" i="10"/>
  <c r="B18" i="5"/>
  <c r="K17" i="5"/>
  <c r="E17" i="5"/>
  <c r="H170" i="11" l="1"/>
  <c r="H271" i="10"/>
  <c r="H275" i="10"/>
  <c r="H196" i="15"/>
  <c r="H192" i="15"/>
  <c r="H191" i="15"/>
  <c r="H190" i="15"/>
  <c r="H304" i="14"/>
  <c r="H303" i="14"/>
  <c r="H302" i="14"/>
  <c r="H301" i="14"/>
  <c r="H300" i="14"/>
  <c r="H298" i="14"/>
  <c r="H297" i="14"/>
  <c r="H218" i="13"/>
  <c r="H299" i="14"/>
  <c r="H296" i="14"/>
  <c r="H294" i="14"/>
  <c r="H223" i="13"/>
  <c r="H222" i="13"/>
  <c r="H221" i="13"/>
  <c r="H196" i="12"/>
  <c r="H195" i="12"/>
  <c r="H194" i="12"/>
  <c r="H192" i="12"/>
  <c r="H191" i="12"/>
  <c r="H172" i="11"/>
  <c r="H193" i="12"/>
  <c r="H190" i="12"/>
  <c r="H174" i="11"/>
  <c r="H173" i="11"/>
  <c r="H171" i="11"/>
  <c r="H193" i="15"/>
  <c r="H169" i="11"/>
  <c r="H277" i="10"/>
  <c r="H276" i="10"/>
  <c r="H274" i="10"/>
  <c r="H273" i="10"/>
  <c r="H272" i="10"/>
  <c r="H270" i="10"/>
  <c r="H269" i="10"/>
  <c r="H268" i="10"/>
  <c r="H195" i="15"/>
  <c r="H194" i="15"/>
</calcChain>
</file>

<file path=xl/sharedStrings.xml><?xml version="1.0" encoding="utf-8"?>
<sst xmlns="http://schemas.openxmlformats.org/spreadsheetml/2006/main" count="17701" uniqueCount="895">
  <si>
    <t>SINGLE AP DEEP DIVE — All 6 Attack Methods on One Target</t>
  </si>
  <si>
    <t>Use this sheet to exhaustively test ONE network with ALL Kali attack tools. Fill details below.</t>
  </si>
  <si>
    <t>Target SSID:</t>
  </si>
  <si>
    <t>SLT FIBER Home WIFI</t>
  </si>
  <si>
    <t>BSSID:</t>
  </si>
  <si>
    <t>B4:F1:B4:C1</t>
  </si>
  <si>
    <t>Location:</t>
  </si>
  <si>
    <t>KURUNAGALA</t>
  </si>
  <si>
    <t>Test Date:</t>
  </si>
  <si>
    <t>2026.06.01</t>
  </si>
  <si>
    <t>Encryption:</t>
  </si>
  <si>
    <t>WPS</t>
  </si>
  <si>
    <t>Channel:</t>
  </si>
  <si>
    <t>Signal (dBm):</t>
  </si>
  <si>
    <t>Tester Name:</t>
  </si>
  <si>
    <t>Test 08</t>
  </si>
  <si>
    <t>ATTACK RESULTS TABLE</t>
  </si>
  <si>
    <t>#</t>
  </si>
  <si>
    <t>Attack Method</t>
  </si>
  <si>
    <t>Kali Tool</t>
  </si>
  <si>
    <t>Full Command Used</t>
  </si>
  <si>
    <t>Pre-conditions
Checked</t>
  </si>
  <si>
    <t>Start
Time</t>
  </si>
  <si>
    <t>End
Time</t>
  </si>
  <si>
    <t>Duration
(min)</t>
  </si>
  <si>
    <t>Result</t>
  </si>
  <si>
    <t>Evidence / Output</t>
  </si>
  <si>
    <t>Security
Impact
(H/M/L)</t>
  </si>
  <si>
    <t>Score
Impact</t>
  </si>
  <si>
    <t>WPS PIN Brute Force</t>
  </si>
  <si>
    <t>Reaver / Bully</t>
  </si>
  <si>
    <t>reaver -i wlan0mon -b [BSSID] -vv -c [CH] --no-associate</t>
  </si>
  <si>
    <t xml:space="preserve">WPS enabled? </t>
  </si>
  <si>
    <t>14.05 pm</t>
  </si>
  <si>
    <t>14.08 pm</t>
  </si>
  <si>
    <t>3min</t>
  </si>
  <si>
    <t>PASS</t>
  </si>
  <si>
    <t xml:space="preserve">PIN obtained </t>
  </si>
  <si>
    <t>High</t>
  </si>
  <si>
    <t>WPA2 Handshake Capture + Crack</t>
  </si>
  <si>
    <t>Aircrack-ng + Hashcat</t>
  </si>
  <si>
    <t>airodump-ng -c [CH] --bssid [BSSID] -w capture wlan0mon
aireplay-ng -0 5 -a [BSSID] wlan0mon</t>
  </si>
  <si>
    <t>Client connected? Monitor mode?</t>
  </si>
  <si>
    <t>14.15 pm</t>
  </si>
  <si>
    <t>14.25 pm</t>
  </si>
  <si>
    <t>10min</t>
  </si>
  <si>
    <t>Handshake file: YES Password cracked: YES</t>
  </si>
  <si>
    <t>PMKID Attack</t>
  </si>
  <si>
    <t>hcxdumptool + hashcat</t>
  </si>
  <si>
    <t>hcxdumptool -i wlan0mon --enable_status=1 -o cap.pcap
hcxpcapngtool -o hash.22000 cap.pcap</t>
  </si>
  <si>
    <t>Router vulnerable to PMKID? No client needed</t>
  </si>
  <si>
    <t>14.30 pm</t>
  </si>
  <si>
    <t>14.35 pm</t>
  </si>
  <si>
    <t>5min</t>
  </si>
  <si>
    <t>PMKID hash obtained: YES</t>
  </si>
  <si>
    <t>-20</t>
  </si>
  <si>
    <t>Evil Twin + Deauth Attack</t>
  </si>
  <si>
    <t>hostapd-wpe + mdk4</t>
  </si>
  <si>
    <t>mdk4 wlan0mon d -B [BSSID] -c [CH]
hostapd-wpe evil_twin.conf</t>
  </si>
  <si>
    <t>2.4GHz band? mdk4 installed?</t>
  </si>
  <si>
    <t>15.20pm</t>
  </si>
  <si>
    <t>15.28pm</t>
  </si>
  <si>
    <t>8min</t>
  </si>
  <si>
    <t>Clients deauthed: NO | Creds captured: NO</t>
  </si>
  <si>
    <t>Medium</t>
  </si>
  <si>
    <t>Beacon Flood / DoS</t>
  </si>
  <si>
    <t>mdk3 / mdk4</t>
  </si>
  <si>
    <t>mdk4 wlan0mon b -n [SSID] -c [CH] -s 1000</t>
  </si>
  <si>
    <t>Monitor mode active?</t>
  </si>
  <si>
    <t>16.00pm</t>
  </si>
  <si>
    <t>16.15pm</t>
  </si>
  <si>
    <t>15min</t>
  </si>
  <si>
    <t>Network disrupted: YES | Duration affected</t>
  </si>
  <si>
    <t>Low</t>
  </si>
  <si>
    <t>-10</t>
  </si>
  <si>
    <t>Packet Injection Test</t>
  </si>
  <si>
    <t>aireplay-ng</t>
  </si>
  <si>
    <t>aireplay-ng --test wlan0mon
aireplay-ng -9 -e [SSID] -a [BSSID] wlan0mon</t>
  </si>
  <si>
    <t>Injection-capable adapter?</t>
  </si>
  <si>
    <t>16.20pm</t>
  </si>
  <si>
    <t>16.24pm</t>
  </si>
  <si>
    <t>4min</t>
  </si>
  <si>
    <t>Injection rate:  success</t>
  </si>
  <si>
    <t>-5</t>
  </si>
  <si>
    <t>DEEP DIVE SUMMARY</t>
  </si>
  <si>
    <t>Total Attacks Attempted:</t>
  </si>
  <si>
    <t>Attacks Succeeded (PASS):</t>
  </si>
  <si>
    <t>Attacks Failed (FAIL):</t>
  </si>
  <si>
    <t>Partial Success:</t>
  </si>
  <si>
    <t>Final Security Score /100:</t>
  </si>
  <si>
    <t>Highest Risk Attack:</t>
  </si>
  <si>
    <t>&lt;&lt;Identify from table above&gt;&gt;</t>
  </si>
  <si>
    <t>Recommendation:</t>
  </si>
  <si>
    <t>Chage Pasword To Strong Pasword</t>
  </si>
  <si>
    <t>🗂️  CERBERUS — Complete Attack Index  |  57 Attacks  |  25 Colombo Wi-Fi Networks</t>
  </si>
  <si>
    <t>Wi-Fi (WPA/WPA2/WPA3), Evil Twin, Phishing, MITM, DoS, Bluetooth, Wired — All Cerberus attack categories included</t>
  </si>
  <si>
    <t>Category</t>
  </si>
  <si>
    <t>Tool Used</t>
  </si>
  <si>
    <t>Risk Level</t>
  </si>
  <si>
    <t>Target</t>
  </si>
  <si>
    <t>Sheet</t>
  </si>
  <si>
    <t>WPA Handshake Capture</t>
  </si>
  <si>
    <t>WPA / WPA2 / WPA3</t>
  </si>
  <si>
    <t>airodump-ng + aireplay-ng</t>
  </si>
  <si>
    <t>HIGH</t>
  </si>
  <si>
    <t>WPA/WPA2</t>
  </si>
  <si>
    <t>🔐 WPA_WPA2_WPA3_Attacks</t>
  </si>
  <si>
    <t>Bruteforce – Aircrack-ng</t>
  </si>
  <si>
    <t>aircrack-ng</t>
  </si>
  <si>
    <t>WPA2/WPA3 Downgrade</t>
  </si>
  <si>
    <t>hostapd-wpe</t>
  </si>
  <si>
    <t>WPA3 Trans</t>
  </si>
  <si>
    <t>hcxdumptool + hcxtools</t>
  </si>
  <si>
    <t>WPA2/WPA3</t>
  </si>
  <si>
    <t>WPS PIN Attack</t>
  </si>
  <si>
    <t>Reaver</t>
  </si>
  <si>
    <t>WPS-on APs</t>
  </si>
  <si>
    <t>Pixie Dust Attack</t>
  </si>
  <si>
    <t>Pixiewps</t>
  </si>
  <si>
    <t>WPA3 DragonBlood</t>
  </si>
  <si>
    <t>dragonslayer</t>
  </si>
  <si>
    <t>MEDIUM</t>
  </si>
  <si>
    <t>WPA3</t>
  </si>
  <si>
    <t>Hashcat GPU Cracking</t>
  </si>
  <si>
    <t>Hashcat</t>
  </si>
  <si>
    <t>John the Ripper</t>
  </si>
  <si>
    <t>john</t>
  </si>
  <si>
    <t>Automated Wifite</t>
  </si>
  <si>
    <t>Wifite2</t>
  </si>
  <si>
    <t>All Wi-Fi</t>
  </si>
  <si>
    <t>Basic Evil Twin</t>
  </si>
  <si>
    <t>Evil Twin</t>
  </si>
  <si>
    <t>hostapd</t>
  </si>
  <si>
    <t>👹 Evil_Twin_Attacks</t>
  </si>
  <si>
    <t>Evil Twin + Captive Portal</t>
  </si>
  <si>
    <t>hostapd + dnsmasq</t>
  </si>
  <si>
    <t>KARMA Attack</t>
  </si>
  <si>
    <t>hostapd-karma</t>
  </si>
  <si>
    <t>MANA Attack</t>
  </si>
  <si>
    <t>MANA toolkit</t>
  </si>
  <si>
    <t>Airgeddon Evil Twin</t>
  </si>
  <si>
    <t>airgeddon</t>
  </si>
  <si>
    <t>Fluxion Evil Twin</t>
  </si>
  <si>
    <t>Fluxion</t>
  </si>
  <si>
    <t>Social Engineering Toolkit</t>
  </si>
  <si>
    <t>Phishing Portal</t>
  </si>
  <si>
    <t>SET (se-toolkit)</t>
  </si>
  <si>
    <t>Users/Creds</t>
  </si>
  <si>
    <t>🎣 Phishing_Portal_Attacks</t>
  </si>
  <si>
    <t>BeEF Browser Exploitation</t>
  </si>
  <si>
    <t>BeEF Framework</t>
  </si>
  <si>
    <t>Browser</t>
  </si>
  <si>
    <t>Wifiphisher Portal</t>
  </si>
  <si>
    <t>Wifiphisher</t>
  </si>
  <si>
    <t>Wi-Fi Users</t>
  </si>
  <si>
    <t>Fluxion Phishing</t>
  </si>
  <si>
    <t>Custom Phishing Portal</t>
  </si>
  <si>
    <t>Apache + custom HTML</t>
  </si>
  <si>
    <t>Credentials</t>
  </si>
  <si>
    <t>Credential Harvester</t>
  </si>
  <si>
    <t>SET Harvester</t>
  </si>
  <si>
    <t>Web Creds</t>
  </si>
  <si>
    <t>QR Code Phishing</t>
  </si>
  <si>
    <t>qrcode + SET</t>
  </si>
  <si>
    <t>Mobile/All</t>
  </si>
  <si>
    <t>ARP Spoofing</t>
  </si>
  <si>
    <t>Man-in-the-Middle</t>
  </si>
  <si>
    <t>Ettercap</t>
  </si>
  <si>
    <t>LAN/Wi-Fi</t>
  </si>
  <si>
    <t>🕵️ MITM_Attacks</t>
  </si>
  <si>
    <t>Bettercap Full Suite</t>
  </si>
  <si>
    <t>Bettercap</t>
  </si>
  <si>
    <t>SSL Strip + MITM</t>
  </si>
  <si>
    <t>sslstrip + arpspoof</t>
  </si>
  <si>
    <t>HTTPS</t>
  </si>
  <si>
    <t>DNS Spoofing</t>
  </si>
  <si>
    <t>Bettercap / dnsspoof</t>
  </si>
  <si>
    <t>DNS</t>
  </si>
  <si>
    <t>DHCP Spoofing</t>
  </si>
  <si>
    <t>Bettercap / yersinia</t>
  </si>
  <si>
    <t>DHCP</t>
  </si>
  <si>
    <t>Session Hijacking</t>
  </si>
  <si>
    <t>Hamster/Ferret</t>
  </si>
  <si>
    <t>Sessions</t>
  </si>
  <si>
    <t>Traffic Interception</t>
  </si>
  <si>
    <t>Wireshark / tcpdump</t>
  </si>
  <si>
    <t>Packet Sniffing</t>
  </si>
  <si>
    <t>Deauth Flood</t>
  </si>
  <si>
    <t>Denial of Service</t>
  </si>
  <si>
    <t>mdk4</t>
  </si>
  <si>
    <t>💥 DoS_Attacks</t>
  </si>
  <si>
    <t>Beacon Flood</t>
  </si>
  <si>
    <t>Authentication Flood</t>
  </si>
  <si>
    <t>Wi-Fi APs</t>
  </si>
  <si>
    <t>EAPOL Flood</t>
  </si>
  <si>
    <t>ARP Flood</t>
  </si>
  <si>
    <t>hping3 / Scapy</t>
  </si>
  <si>
    <t>LAN</t>
  </si>
  <si>
    <t>SYN Flood</t>
  </si>
  <si>
    <t>hping3</t>
  </si>
  <si>
    <t>TCP/IP</t>
  </si>
  <si>
    <t>UDP Flood</t>
  </si>
  <si>
    <t>UDP</t>
  </si>
  <si>
    <t>ICMP Flood</t>
  </si>
  <si>
    <t>hping3 / fping</t>
  </si>
  <si>
    <t>Network</t>
  </si>
  <si>
    <t>Deauth – aireplay-ng</t>
  </si>
  <si>
    <t>Wi-Fi</t>
  </si>
  <si>
    <t>WIDS/WIPS Confusion</t>
  </si>
  <si>
    <t>LOW</t>
  </si>
  <si>
    <t>WIDS/WIPS</t>
  </si>
  <si>
    <t>Michael Shutdown (TKIP)</t>
  </si>
  <si>
    <t>TKIP</t>
  </si>
  <si>
    <t>Bluetooth Discovery</t>
  </si>
  <si>
    <t>Bluetooth</t>
  </si>
  <si>
    <t>hcitool / bluetoothctl</t>
  </si>
  <si>
    <t>BT Devices</t>
  </si>
  <si>
    <t>📶 Bluetooth_Attacks</t>
  </si>
  <si>
    <t>Bluetooth Sniffing</t>
  </si>
  <si>
    <t>ubertooth</t>
  </si>
  <si>
    <t>BT Traffic</t>
  </si>
  <si>
    <t>BlueSnarf Attack</t>
  </si>
  <si>
    <t>obexftp / bluesnarfer</t>
  </si>
  <si>
    <t>BlueJacking</t>
  </si>
  <si>
    <t>bluejack / hcitool</t>
  </si>
  <si>
    <t>BlueBorne Attack</t>
  </si>
  <si>
    <t>BlueBorne PoC</t>
  </si>
  <si>
    <t>L2CAP Attack</t>
  </si>
  <si>
    <t>l2ping / scapy-bt</t>
  </si>
  <si>
    <t>BT Stack</t>
  </si>
  <si>
    <t>Bluetooth DoS</t>
  </si>
  <si>
    <t>hcitool / l2ping</t>
  </si>
  <si>
    <t>Network Discovery</t>
  </si>
  <si>
    <t>Wired Network</t>
  </si>
  <si>
    <t>nmap</t>
  </si>
  <si>
    <t>All Hosts</t>
  </si>
  <si>
    <t>🔌 Wired_Network_Attacks</t>
  </si>
  <si>
    <t>Vulnerability Scanning</t>
  </si>
  <si>
    <t>nmap NSE / OpenVAS</t>
  </si>
  <si>
    <t>Password Cracking</t>
  </si>
  <si>
    <t>Hydra</t>
  </si>
  <si>
    <t>Auth Svcs</t>
  </si>
  <si>
    <t>SQL Injection</t>
  </si>
  <si>
    <t>sqlmap</t>
  </si>
  <si>
    <t>Web/DB</t>
  </si>
  <si>
    <t>Metasploit Framework</t>
  </si>
  <si>
    <t>Metasploit</t>
  </si>
  <si>
    <t>SNMP Attack</t>
  </si>
  <si>
    <t>snmpwalk / onesixtyone</t>
  </si>
  <si>
    <t>SNMP Devs</t>
  </si>
  <si>
    <t>SMB Attack</t>
  </si>
  <si>
    <t>Metasploit / CrackMapExec</t>
  </si>
  <si>
    <t>Windows</t>
  </si>
  <si>
    <t>FTP Attack</t>
  </si>
  <si>
    <t>Hydra / Metasploit</t>
  </si>
  <si>
    <t>FTP Svcs</t>
  </si>
  <si>
    <t>Wi-Fi Security Strength Assessment — Data Collection &amp; Analysis Workbook</t>
  </si>
  <si>
    <t>Colombo City Wi-Fi Security Audit | Kali Linux Attack-Based Scoring | 2025-2026</t>
  </si>
  <si>
    <t>WORKBOOK STRUCTURE</t>
  </si>
  <si>
    <t>Sheet Name</t>
  </si>
  <si>
    <t>Purpose</t>
  </si>
  <si>
    <t>When to Use</t>
  </si>
  <si>
    <t>📋 Instructions</t>
  </si>
  <si>
    <t>This sheet  overview and guidance</t>
  </si>
  <si>
    <t>Read before starting</t>
  </si>
  <si>
    <t>📡 Network_Inventory</t>
  </si>
  <si>
    <t>List all Wi-Fi networks discovered in Colombo</t>
  </si>
  <si>
    <t>Step 1 — site survey</t>
  </si>
  <si>
    <t>🔴 Raw_Attack_Data</t>
  </si>
  <si>
    <t>Record every attack attempt and result</t>
  </si>
  <si>
    <t>Step 2 — during attacks</t>
  </si>
  <si>
    <t>🟡 Single_AP_Deep_Dive</t>
  </si>
  <si>
    <t>All 6 attack methods on ONE target AP</t>
  </si>
  <si>
    <t>Step 3 — deep dive test</t>
  </si>
  <si>
    <t>📊 Scoring_Calculator</t>
  </si>
  <si>
    <t>Auto-calculates security score per network</t>
  </si>
  <si>
    <t>Step 4 — auto scoring</t>
  </si>
  <si>
    <t>📈 Comparison_Analysis</t>
  </si>
  <si>
    <t>Compare tested APs vs your Ideal Reference AP</t>
  </si>
  <si>
    <t>Step 5 — analysis</t>
  </si>
  <si>
    <t>📉 Charts_Dashboard</t>
  </si>
  <si>
    <t>Visual graphs — radar, bar, trend charts</t>
  </si>
  <si>
    <t>Step 6 — visualise</t>
  </si>
  <si>
    <t>📝 Field_Notes</t>
  </si>
  <si>
    <t>Free-form notes, observations, anomalies</t>
  </si>
  <si>
    <t>Any time</t>
  </si>
  <si>
    <t>KALI LINUX ATTACK METHODS REFERENCE</t>
  </si>
  <si>
    <t>Targets</t>
  </si>
  <si>
    <t>Expected Outcome if Vulnerable</t>
  </si>
  <si>
    <t>Score Weight</t>
  </si>
  <si>
    <t>1</t>
  </si>
  <si>
    <t>WPS-enabled APs</t>
  </si>
  <si>
    <t>WPA2 passphrase revealed in &lt;4hrs</t>
  </si>
  <si>
    <t>25%</t>
  </si>
  <si>
    <t>2</t>
  </si>
  <si>
    <t>WPA2 Handshake Capture</t>
  </si>
  <si>
    <t>Aircrack-ng / Hashcat</t>
  </si>
  <si>
    <t>WPA/WPA2 networks</t>
  </si>
  <si>
    <t>Password cracked from handshake file</t>
  </si>
  <si>
    <t>3</t>
  </si>
  <si>
    <t>hcxdumptool / hcxtools</t>
  </si>
  <si>
    <t>WPA2 PMKID-enabled</t>
  </si>
  <si>
    <t>Hash captured without client needed</t>
  </si>
  <si>
    <t>20%</t>
  </si>
  <si>
    <t>4</t>
  </si>
  <si>
    <t>Evil Twin / Deauth</t>
  </si>
  <si>
    <t>Hostapd-wpe / mdk4</t>
  </si>
  <si>
    <t>All Wi-Fi networks</t>
  </si>
  <si>
    <t>Client disconnected / credentials harvested</t>
  </si>
  <si>
    <t>15%</t>
  </si>
  <si>
    <t>5</t>
  </si>
  <si>
    <t>All networks</t>
  </si>
  <si>
    <t>Network disrupted / unavailable</t>
  </si>
  <si>
    <t>10%</t>
  </si>
  <si>
    <t>6</t>
  </si>
  <si>
    <t>Aireplay-ng</t>
  </si>
  <si>
    <t>Monitor mode capable</t>
  </si>
  <si>
    <t>Injected packets accepted</t>
  </si>
  <si>
    <t>5%</t>
  </si>
  <si>
    <t>SECURITY SCORE INTERPRETATION</t>
  </si>
  <si>
    <t>Score Range</t>
  </si>
  <si>
    <t>Rating</t>
  </si>
  <si>
    <t>Meaning</t>
  </si>
  <si>
    <t>90-100</t>
  </si>
  <si>
    <t>EXCELLENT</t>
  </si>
  <si>
    <t>Strong encryption, WPS off, PMKID resistant, no deauth vulnerability</t>
  </si>
  <si>
    <t>●</t>
  </si>
  <si>
    <t>70-89</t>
  </si>
  <si>
    <t>GOOD</t>
  </si>
  <si>
    <t>Minor weaknesses — e.g. WPS enabled but strong password</t>
  </si>
  <si>
    <t>50-69</t>
  </si>
  <si>
    <t>MODERATE</t>
  </si>
  <si>
    <t>Some vulnerabilities — e.g. PMKID exposed or weak handshake</t>
  </si>
  <si>
    <t>30-49</t>
  </si>
  <si>
    <t>WEAK</t>
  </si>
  <si>
    <t>Multiple attack vectors successful — needs immediate upgrade</t>
  </si>
  <si>
    <t>0-29</t>
  </si>
  <si>
    <t>CRITICAL</t>
  </si>
  <si>
    <t>Most attacks succeeded — network is insecure</t>
  </si>
  <si>
    <t>NETWORK INVENTORY — Colombo City Wi-Fi Site Survey</t>
  </si>
  <si>
    <t>Run: sudo airodump-ng wlan0mon  |  Fill each discovered network below</t>
  </si>
  <si>
    <t>SSID (Network Name)</t>
  </si>
  <si>
    <t>BSSID (MAC Address)</t>
  </si>
  <si>
    <t>Channel</t>
  </si>
  <si>
    <t>Signal (dBm)</t>
  </si>
  <si>
    <t>Encryption</t>
  </si>
  <si>
    <t>WPS?</t>
  </si>
  <si>
    <t>Cipher</t>
  </si>
  <si>
    <t>Auth</t>
  </si>
  <si>
    <t>Vendor/Brand</t>
  </si>
  <si>
    <t>Location / Area</t>
  </si>
  <si>
    <t>Notes</t>
  </si>
  <si>
    <t>Include in Test?</t>
  </si>
  <si>
    <t>Dialog_Home_Perera</t>
  </si>
  <si>
    <t>AA:BB:CC:DD:EE:01</t>
  </si>
  <si>
    <t>WPA2</t>
  </si>
  <si>
    <t>No</t>
  </si>
  <si>
    <t>CCMP</t>
  </si>
  <si>
    <t>PSK</t>
  </si>
  <si>
    <t>TP-Link</t>
  </si>
  <si>
    <t>Colombo 3</t>
  </si>
  <si>
    <t>Dialog Axiata personal home Wi-Fi</t>
  </si>
  <si>
    <t>YES</t>
  </si>
  <si>
    <t>SLT_Fiber_Jayawardena</t>
  </si>
  <si>
    <t>B2:C3:D4:E5:F6:02</t>
  </si>
  <si>
    <t>Yes</t>
  </si>
  <si>
    <t>Huawei</t>
  </si>
  <si>
    <t>Colombo 5</t>
  </si>
  <si>
    <t>SLT Mobitel fiber home broadband</t>
  </si>
  <si>
    <t>Hutch_Home_Silva</t>
  </si>
  <si>
    <t>C3:D4:E5:F6:07:03</t>
  </si>
  <si>
    <t>ZTE</t>
  </si>
  <si>
    <t>Colombo 6</t>
  </si>
  <si>
    <t>Hutch 4G home Wi-Fi personal</t>
  </si>
  <si>
    <t>Mobitel_Home_Fernando</t>
  </si>
  <si>
    <t>D4:E5:F6:07:18:04</t>
  </si>
  <si>
    <t>D-Link</t>
  </si>
  <si>
    <t>Colombo 7</t>
  </si>
  <si>
    <t>Mobitel 4G LTE home broadband</t>
  </si>
  <si>
    <t>Dialog_4G_Karunaratne</t>
  </si>
  <si>
    <t>E5:F6:07:18:29:05</t>
  </si>
  <si>
    <t>Colombo 4</t>
  </si>
  <si>
    <t>Dialog 4G home broadband router</t>
  </si>
  <si>
    <t>SLT_VDSL_Dissanayake</t>
  </si>
  <si>
    <t>F6:07:18:29:3A:06</t>
  </si>
  <si>
    <t>Colombo 2</t>
  </si>
  <si>
    <t>SLT VDSL2 residential broadband</t>
  </si>
  <si>
    <t>Hutch_4G_Rajapaksa</t>
  </si>
  <si>
    <t>07:18:29:3A:4B:07</t>
  </si>
  <si>
    <t>Colombo 8</t>
  </si>
  <si>
    <t>Hutch 4G LTE home router</t>
  </si>
  <si>
    <t>Lanka_Bell_Wijesinghe</t>
  </si>
  <si>
    <t>18:29:3A:4B:5C:08</t>
  </si>
  <si>
    <t>Colombo 10</t>
  </si>
  <si>
    <t>Lanka Bell fiber home personal</t>
  </si>
  <si>
    <t>Dialog_Fiber_Bandara</t>
  </si>
  <si>
    <t>29:3A:4B:5C:6D:09</t>
  </si>
  <si>
    <t>SAE</t>
  </si>
  <si>
    <t>Dialog fiber optic personal home</t>
  </si>
  <si>
    <t>SLT_Home_Gunasekara</t>
  </si>
  <si>
    <t>3A:4B:5C:6D:7E:10</t>
  </si>
  <si>
    <t>SLT broadband residential user</t>
  </si>
  <si>
    <t>Mobitel_4G_Weerasinghe</t>
  </si>
  <si>
    <t>4B:5C:6D:7E:8F:11</t>
  </si>
  <si>
    <t>Colombo 9</t>
  </si>
  <si>
    <t>Mobitel 4G router home network</t>
  </si>
  <si>
    <t>Dialog_Home_Liyanage</t>
  </si>
  <si>
    <t>5C:6D:7E:8F:90:12</t>
  </si>
  <si>
    <t>Dialog ADSL personal home Wi-Fi</t>
  </si>
  <si>
    <t>Barista_Colombo3_FreeWiFi</t>
  </si>
  <si>
    <t>6D:7E:8F:90:A1:13</t>
  </si>
  <si>
    <t>Open</t>
  </si>
  <si>
    <t>None</t>
  </si>
  <si>
    <t>Cisco</t>
  </si>
  <si>
    <t>Barista coffee shop free hotspot</t>
  </si>
  <si>
    <t>CoffeeBean_GuestFree</t>
  </si>
  <si>
    <t>7E:8F:90:A1:B2:14</t>
  </si>
  <si>
    <t>Coffee Bean &amp; Tea Leaf guest Wi-Fi</t>
  </si>
  <si>
    <t>McDonalds_Colpetty_Free</t>
  </si>
  <si>
    <t>8F:90:A1:B2:C3:15</t>
  </si>
  <si>
    <t>Ruckus</t>
  </si>
  <si>
    <t>Colpetty</t>
  </si>
  <si>
    <t>McDonalds free captive portal Wi-Fi</t>
  </si>
  <si>
    <t>KFC_MajesticCity_Free</t>
  </si>
  <si>
    <t>90:A1:B2:C3:D4:16</t>
  </si>
  <si>
    <t>Majestic City</t>
  </si>
  <si>
    <t>KFC Majestic City guest Wi-Fi</t>
  </si>
  <si>
    <t>OneSixOne_Mall_Public</t>
  </si>
  <si>
    <t>A1:B2:C3:D4:E5:17</t>
  </si>
  <si>
    <t>One Galle Face</t>
  </si>
  <si>
    <t>One Galle Face Mall free Wi-Fi</t>
  </si>
  <si>
    <t>Keells_Super_FreeWiFi</t>
  </si>
  <si>
    <t>B2:C3:D4:E5:F6:18</t>
  </si>
  <si>
    <t>Keells Super customer free Wi-Fi</t>
  </si>
  <si>
    <t>GalleFace_FreeHotspot</t>
  </si>
  <si>
    <t>C3:D4:E5:F6:07:19</t>
  </si>
  <si>
    <t>Galle Face</t>
  </si>
  <si>
    <t>CMC Galle Face Green public hotspot</t>
  </si>
  <si>
    <t>Viharamahadevi_FreeNet</t>
  </si>
  <si>
    <t>D4:E5:F6:07:18:20</t>
  </si>
  <si>
    <t>Viharamahadevi</t>
  </si>
  <si>
    <t>Viharamahadevi Park CMC hotspot</t>
  </si>
  <si>
    <t>Cargills_FoodCity_WiFi</t>
  </si>
  <si>
    <t>E5:F6:07:18:29:21</t>
  </si>
  <si>
    <t>Cargills Food City customer Wi-Fi</t>
  </si>
  <si>
    <t>Arpico_Super_GuestWiFi</t>
  </si>
  <si>
    <t>F6:07:18:29:3A:22</t>
  </si>
  <si>
    <t>Netgear</t>
  </si>
  <si>
    <t>Arpico Supercentre customer Wi-Fi</t>
  </si>
  <si>
    <t>LibertyPlaza_FreeWiFi</t>
  </si>
  <si>
    <t>07:18:29:3A:4B:23</t>
  </si>
  <si>
    <t>Liberty Plaza</t>
  </si>
  <si>
    <t>Liberty Plaza shopping mall Wi-Fi</t>
  </si>
  <si>
    <t>Colombo_Fort_PublicNet</t>
  </si>
  <si>
    <t>18:29:3A:4B:5C:24</t>
  </si>
  <si>
    <t>Colombo Fort</t>
  </si>
  <si>
    <t>Fort railway station public hotspot</t>
  </si>
  <si>
    <t>PizzaHut_UnionPlace_Guest</t>
  </si>
  <si>
    <t>29:3A:4B:5C:6D:25</t>
  </si>
  <si>
    <t>Union Place</t>
  </si>
  <si>
    <t>Pizza Hut Union Place dine-in Wi-Fi</t>
  </si>
  <si>
    <t>RAW ATTACK DATA LOG — All Networks × All Attacks</t>
  </si>
  <si>
    <t>Record EVERY attack attempt here. One row = one attack on one network.</t>
  </si>
  <si>
    <t>Test
Date</t>
  </si>
  <si>
    <t>Target SSID</t>
  </si>
  <si>
    <t>BSSID</t>
  </si>
  <si>
    <t>Attack
Method</t>
  </si>
  <si>
    <t>Kali Tool
Used</t>
  </si>
  <si>
    <t>Command
Executed</t>
  </si>
  <si>
    <t>Attack
Duration
(min)</t>
  </si>
  <si>
    <t>Result
(Pass/Fail/Partial)</t>
  </si>
  <si>
    <t>Password
Revealed?</t>
  </si>
  <si>
    <t>Handshake
Captured?</t>
  </si>
  <si>
    <t>WPS PIN
Obtained?</t>
  </si>
  <si>
    <t>PMKID
Hash Got?</t>
  </si>
  <si>
    <t>Deauth
Successful?</t>
  </si>
  <si>
    <t>Security
Impact</t>
  </si>
  <si>
    <t>Tester
Notes</t>
  </si>
  <si>
    <t>WPS PIN BF</t>
  </si>
  <si>
    <t>reaver -i wlan0mon -b AA:BB:CC:DD:EE:01 -vv</t>
  </si>
  <si>
    <t>FAIL</t>
  </si>
  <si>
    <t>N/A</t>
  </si>
  <si>
    <t>Attack blocked — secure configuration</t>
  </si>
  <si>
    <t>WPA2 Handshake</t>
  </si>
  <si>
    <t>Aircrack-ng</t>
  </si>
  <si>
    <t>airodump-ng + aireplay-ng -0 5 -a AA:BB:CC:DD:EE:01</t>
  </si>
  <si>
    <t>Handshake captured</t>
  </si>
  <si>
    <t>hcxdumptool</t>
  </si>
  <si>
    <t>hcxdumptool -i wlan0mon -o pmkid.pcap</t>
  </si>
  <si>
    <t>Evil Twin/Deauth</t>
  </si>
  <si>
    <t>mdk4 wlan0mon d -B AA:BB:CC:DD:EE:01</t>
  </si>
  <si>
    <t>Clients deauthenticated</t>
  </si>
  <si>
    <t>mdk4 wlan0mon b -n Dialog_Home_Perera -c 6 -s 1000</t>
  </si>
  <si>
    <t>Packet Inject</t>
  </si>
  <si>
    <t>aireplay-ng --test wlan0mon</t>
  </si>
  <si>
    <t>Packet injection tested</t>
  </si>
  <si>
    <t>reaver -i wlan0mon -b B2:C3:D4:E5:F6:02 -vv</t>
  </si>
  <si>
    <t>WPS attack completed</t>
  </si>
  <si>
    <t>airodump-ng + aireplay-ng -0 5 -a B2:C3:D4:E5:F6:02</t>
  </si>
  <si>
    <t>PMKID hash captured</t>
  </si>
  <si>
    <t>mdk4 wlan0mon d -B B2:C3:D4:E5:F6:02</t>
  </si>
  <si>
    <t>mdk4 wlan0mon b -n SLT_Fiber_Jayawardena -c 6 -s 1000</t>
  </si>
  <si>
    <t>Beacon flood executed</t>
  </si>
  <si>
    <t>reaver -i wlan0mon -b C3:D4:E5:F6:07:03 -vv</t>
  </si>
  <si>
    <t>airodump-ng + aireplay-ng -0 5 -a C3:D4:E5:F6:07:03</t>
  </si>
  <si>
    <t>mdk4 wlan0mon d -B C3:D4:E5:F6:07:03</t>
  </si>
  <si>
    <t>mdk4 wlan0mon b -n Hutch_Home_Silva -c 6 -s 1000</t>
  </si>
  <si>
    <t>reaver -i wlan0mon -b D4:E5:F6:07:18:04 -vv</t>
  </si>
  <si>
    <t>airodump-ng + aireplay-ng -0 5 -a D4:E5:F6:07:18:04</t>
  </si>
  <si>
    <t>mdk4 wlan0mon d -B D4:E5:F6:07:18:04</t>
  </si>
  <si>
    <t>mdk4 wlan0mon b -n Mobitel_Home_Fernando -c 6 -s 1000</t>
  </si>
  <si>
    <t>reaver -i wlan0mon -b E5:F6:07:18:29:05 -vv</t>
  </si>
  <si>
    <t>airodump-ng + aireplay-ng -0 5 -a E5:F6:07:18:29:05</t>
  </si>
  <si>
    <t>mdk4 wlan0mon d -B E5:F6:07:18:29:05</t>
  </si>
  <si>
    <t>mdk4 wlan0mon b -n Dialog_4G_Karunaratne -c 6 -s 1000</t>
  </si>
  <si>
    <t>reaver -i wlan0mon -b F6:07:18:29:3A:06 -vv</t>
  </si>
  <si>
    <t>airodump-ng + aireplay-ng -0 5 -a F6:07:18:29:3A:06</t>
  </si>
  <si>
    <t>mdk4 wlan0mon d -B F6:07:18:29:3A:06</t>
  </si>
  <si>
    <t>mdk4 wlan0mon b -n SLT_VDSL_Dissanayake -c 6 -s 1000</t>
  </si>
  <si>
    <t>reaver -i wlan0mon -b 07:18:29:3A:4B:07 -vv</t>
  </si>
  <si>
    <t>airodump-ng + aireplay-ng -0 5 -a 07:18:29:3A:4B:07</t>
  </si>
  <si>
    <t>mdk4 wlan0mon d -B 07:18:29:3A:4B:07</t>
  </si>
  <si>
    <t>mdk4 wlan0mon b -n Hutch_4G_Rajapaksa -c 6 -s 1000</t>
  </si>
  <si>
    <t>reaver -i wlan0mon -b 18:29:3A:4B:5C:08 -vv</t>
  </si>
  <si>
    <t>airodump-ng + aireplay-ng -0 5 -a 18:29:3A:4B:5C:08</t>
  </si>
  <si>
    <t>mdk4 wlan0mon d -B 18:29:3A:4B:5C:08</t>
  </si>
  <si>
    <t>mdk4 wlan0mon b -n Lanka_Bell_Wijesinghe -c 6 -s 1000</t>
  </si>
  <si>
    <t>reaver -i wlan0mon -b 29:3A:4B:5C:6D:09 -vv</t>
  </si>
  <si>
    <t>airodump-ng + aireplay-ng -0 5 -a 29:3A:4B:5C:6D:09</t>
  </si>
  <si>
    <t>mdk4 wlan0mon d -B 29:3A:4B:5C:6D:09</t>
  </si>
  <si>
    <t>mdk4 wlan0mon b -n Dialog_Fiber_Bandara -c 6 -s 1000</t>
  </si>
  <si>
    <t>reaver -i wlan0mon -b 3A:4B:5C:6D:7E:10 -vv</t>
  </si>
  <si>
    <t>airodump-ng + aireplay-ng -0 5 -a 3A:4B:5C:6D:7E:10</t>
  </si>
  <si>
    <t>mdk4 wlan0mon d -B 3A:4B:5C:6D:7E:10</t>
  </si>
  <si>
    <t>mdk4 wlan0mon b -n SLT_Home_Gunasekara -c 6 -s 1000</t>
  </si>
  <si>
    <t>reaver -i wlan0mon -b 4B:5C:6D:7E:8F:11 -vv</t>
  </si>
  <si>
    <t>airodump-ng + aireplay-ng -0 5 -a 4B:5C:6D:7E:8F:11</t>
  </si>
  <si>
    <t>mdk4 wlan0mon d -B 4B:5C:6D:7E:8F:11</t>
  </si>
  <si>
    <t>mdk4 wlan0mon b -n Mobitel_4G_Weerasinghe -c 6 -s 1000</t>
  </si>
  <si>
    <t>reaver -i wlan0mon -b 5C:6D:7E:8F:90:12 -vv</t>
  </si>
  <si>
    <t>airodump-ng + aireplay-ng -0 5 -a 5C:6D:7E:8F:90:12</t>
  </si>
  <si>
    <t>mdk4 wlan0mon d -B 5C:6D:7E:8F:90:12</t>
  </si>
  <si>
    <t>mdk4 wlan0mon b -n Dialog_Home_Liyanage -c 6 -s 1000</t>
  </si>
  <si>
    <t>reaver -i wlan0mon -b 6D:7E:8F:90:A1:13 -vv</t>
  </si>
  <si>
    <t>airodump-ng + aireplay-ng -0 5 -a 6D:7E:8F:90:A1:13</t>
  </si>
  <si>
    <t>mdk4 wlan0mon d -B 6D:7E:8F:90:A1:13</t>
  </si>
  <si>
    <t>mdk4 wlan0mon b -n Barista_Colombo3_FreeWiFi -c 6 -s 1000</t>
  </si>
  <si>
    <t>reaver -i wlan0mon -b 7E:8F:90:A1:B2:14 -vv</t>
  </si>
  <si>
    <t>airodump-ng + aireplay-ng -0 5 -a 7E:8F:90:A1:B2:14</t>
  </si>
  <si>
    <t>mdk4 wlan0mon d -B 7E:8F:90:A1:B2:14</t>
  </si>
  <si>
    <t>mdk4 wlan0mon b -n CoffeeBean_GuestFree -c 6 -s 1000</t>
  </si>
  <si>
    <t>reaver -i wlan0mon -b 8F:90:A1:B2:C3:15 -vv</t>
  </si>
  <si>
    <t>airodump-ng + aireplay-ng -0 5 -a 8F:90:A1:B2:C3:15</t>
  </si>
  <si>
    <t>mdk4 wlan0mon d -B 8F:90:A1:B2:C3:15</t>
  </si>
  <si>
    <t>mdk4 wlan0mon b -n McDonalds_Colpetty_Free -c 6 -s 1000</t>
  </si>
  <si>
    <t>reaver -i wlan0mon -b 90:A1:B2:C3:D4:16 -vv</t>
  </si>
  <si>
    <t>airodump-ng + aireplay-ng -0 5 -a 90:A1:B2:C3:D4:16</t>
  </si>
  <si>
    <t>mdk4 wlan0mon d -B 90:A1:B2:C3:D4:16</t>
  </si>
  <si>
    <t>mdk4 wlan0mon b -n KFC_MajesticCity_Free -c 6 -s 1000</t>
  </si>
  <si>
    <t>reaver -i wlan0mon -b A1:B2:C3:D4:E5:17 -vv</t>
  </si>
  <si>
    <t>airodump-ng + aireplay-ng -0 5 -a A1:B2:C3:D4:E5:17</t>
  </si>
  <si>
    <t>mdk4 wlan0mon d -B A1:B2:C3:D4:E5:17</t>
  </si>
  <si>
    <t>mdk4 wlan0mon b -n OneSixOne_Mall_Public -c 6 -s 1000</t>
  </si>
  <si>
    <t>reaver -i wlan0mon -b B2:C3:D4:E5:F6:18 -vv</t>
  </si>
  <si>
    <t>airodump-ng + aireplay-ng -0 5 -a B2:C3:D4:E5:F6:18</t>
  </si>
  <si>
    <t>mdk4 wlan0mon d -B B2:C3:D4:E5:F6:18</t>
  </si>
  <si>
    <t>mdk4 wlan0mon b -n Keells_Super_FreeWiFi -c 6 -s 1000</t>
  </si>
  <si>
    <t>reaver -i wlan0mon -b C3:D4:E5:F6:07:19 -vv</t>
  </si>
  <si>
    <t>airodump-ng + aireplay-ng -0 5 -a C3:D4:E5:F6:07:19</t>
  </si>
  <si>
    <t>mdk4 wlan0mon d -B C3:D4:E5:F6:07:19</t>
  </si>
  <si>
    <t>mdk4 wlan0mon b -n GalleFace_FreeHotspot -c 6 -s 1000</t>
  </si>
  <si>
    <t>reaver -i wlan0mon -b D4:E5:F6:07:18:20 -vv</t>
  </si>
  <si>
    <t>airodump-ng + aireplay-ng -0 5 -a D4:E5:F6:07:18:20</t>
  </si>
  <si>
    <t>mdk4 wlan0mon d -B D4:E5:F6:07:18:20</t>
  </si>
  <si>
    <t>mdk4 wlan0mon b -n Viharamahadevi_FreeNet -c 6 -s 1000</t>
  </si>
  <si>
    <t>reaver -i wlan0mon -b E5:F6:07:18:29:21 -vv</t>
  </si>
  <si>
    <t>airodump-ng + aireplay-ng -0 5 -a E5:F6:07:18:29:21</t>
  </si>
  <si>
    <t>mdk4 wlan0mon d -B E5:F6:07:18:29:21</t>
  </si>
  <si>
    <t>mdk4 wlan0mon b -n Cargills_FoodCity_WiFi -c 6 -s 1000</t>
  </si>
  <si>
    <t>reaver -i wlan0mon -b F6:07:18:29:3A:22 -vv</t>
  </si>
  <si>
    <t>airodump-ng + aireplay-ng -0 5 -a F6:07:18:29:3A:22</t>
  </si>
  <si>
    <t>mdk4 wlan0mon d -B F6:07:18:29:3A:22</t>
  </si>
  <si>
    <t>mdk4 wlan0mon b -n Arpico_Super_GuestWiFi -c 6 -s 1000</t>
  </si>
  <si>
    <t>reaver -i wlan0mon -b 07:18:29:3A:4B:23 -vv</t>
  </si>
  <si>
    <t>airodump-ng + aireplay-ng -0 5 -a 07:18:29:3A:4B:23</t>
  </si>
  <si>
    <t>mdk4 wlan0mon d -B 07:18:29:3A:4B:23</t>
  </si>
  <si>
    <t>mdk4 wlan0mon b -n LibertyPlaza_FreeWiFi -c 6 -s 1000</t>
  </si>
  <si>
    <t>reaver -i wlan0mon -b 18:29:3A:4B:5C:24 -vv</t>
  </si>
  <si>
    <t>airodump-ng + aireplay-ng -0 5 -a 18:29:3A:4B:5C:24</t>
  </si>
  <si>
    <t>mdk4 wlan0mon d -B 18:29:3A:4B:5C:24</t>
  </si>
  <si>
    <t>mdk4 wlan0mon b -n Colombo_Fort_PublicNet -c 6 -s 1000</t>
  </si>
  <si>
    <t>reaver -i wlan0mon -b 29:3A:4B:5C:6D:25 -vv</t>
  </si>
  <si>
    <t>airodump-ng + aireplay-ng -0 5 -a 29:3A:4B:5C:6D:25</t>
  </si>
  <si>
    <t>mdk4 wlan0mon d -B 29:3A:4B:5C:6D:25</t>
  </si>
  <si>
    <t>mdk4 wlan0mon b -n PizzaHut_UnionPlace_Guest -c 6 -s 1000</t>
  </si>
  <si>
    <t>SECURITY SCORING CALCULATOR — Auto Score per Network</t>
  </si>
  <si>
    <t>Enter 1 = Attack SUCCEEDED (vulnerable) | 0 = Attack FAILED (secure) | 0.5 = Partial</t>
  </si>
  <si>
    <t>Weights: WPS BF = 25pts | WPA2 Handshake = 25pts | PMKID = 20pts | Evil Twin = 15pts | Beacon DoS = 10pts | Pkt Inject = 5pts</t>
  </si>
  <si>
    <t>Network SSID</t>
  </si>
  <si>
    <t>Type</t>
  </si>
  <si>
    <t>WPS BF
Result
(1/0/0.5)</t>
  </si>
  <si>
    <t>WPA2
Handshake
(1/0/0.5)</t>
  </si>
  <si>
    <t>PMKID
(1/0/0.5)</t>
  </si>
  <si>
    <t>Evil Twin
(1/0/0.5)</t>
  </si>
  <si>
    <t>Beacon DoS
(1/0/0.5)</t>
  </si>
  <si>
    <t>Pkt Inject
(1/0/0.5)</t>
  </si>
  <si>
    <t>Penalty
Score
/100</t>
  </si>
  <si>
    <t>Security
Score
/100</t>
  </si>
  <si>
    <t>Status</t>
  </si>
  <si>
    <t>WEIGHTS →</t>
  </si>
  <si>
    <t>Personal Wi-Fi (Dialog)</t>
  </si>
  <si>
    <t>✅ SECURE</t>
  </si>
  <si>
    <t>Personal Wi-Fi (SLT)</t>
  </si>
  <si>
    <t>🔴 CRITICAL</t>
  </si>
  <si>
    <t>Personal Wi-Fi (Hutch)</t>
  </si>
  <si>
    <t>⚠ REVIEW</t>
  </si>
  <si>
    <t>Personal Wi-Fi (Mobitel)</t>
  </si>
  <si>
    <t>Personal Wi-Fi (Lanka Bell)</t>
  </si>
  <si>
    <t>Public Free Wi-Fi</t>
  </si>
  <si>
    <t>COMPARISON ANALYSIS — Tested APs vs Ideal Reference AP</t>
  </si>
  <si>
    <t>Your own AP (HomeRouter_5G) is the IDEAL baseline. Positive gap = worse than ideal.</t>
  </si>
  <si>
    <t>TABLE 1 — OVERALL SECURITY SCORE COMPARISON</t>
  </si>
  <si>
    <t>NO</t>
  </si>
  <si>
    <t>PARTIAL</t>
  </si>
  <si>
    <t>Enable PMF, update firmware</t>
  </si>
  <si>
    <t>Upgrade to WPA3, disable WPS, enable HSTS</t>
  </si>
  <si>
    <t>Enable PMF, update firmware, check WPS</t>
  </si>
  <si>
    <t>None — maintain current security</t>
  </si>
  <si>
    <t>Enable PMF, upgrade firmware, use strong password</t>
  </si>
  <si>
    <t>CHARTS &amp; VISUAL ANALYSIS DASHBOARD</t>
  </si>
  <si>
    <t>Charts auto-update when you enter data in Scoring_Calculator and Comparison_Analysis sheets</t>
  </si>
  <si>
    <t>Network Name</t>
  </si>
  <si>
    <t>Security Score</t>
  </si>
  <si>
    <t>WPS BF</t>
  </si>
  <si>
    <t>WPA2 Shake</t>
  </si>
  <si>
    <t>PMKID</t>
  </si>
  <si>
    <t>Beacon DoS</t>
  </si>
  <si>
    <t>Pkt Inject</t>
  </si>
  <si>
    <t>Personal (Dialog)</t>
  </si>
  <si>
    <t>Personal (SLT)</t>
  </si>
  <si>
    <t>Personal (Hutch)</t>
  </si>
  <si>
    <t>Personal (Mobitel)</t>
  </si>
  <si>
    <t>Personal (Lanka Bell)</t>
  </si>
  <si>
    <t>Public Free</t>
  </si>
  <si>
    <t>Attack Type</t>
  </si>
  <si>
    <t>Success Count (out of 25)</t>
  </si>
  <si>
    <t>Colombo 1</t>
  </si>
  <si>
    <t>🔬  WPA / WPA2 / WPA3 Attack Analysis  —  Colombo City Wi-Fi Security Assessment 2025–2026</t>
  </si>
  <si>
    <t>Cerberus Wi-Fi Security Measurement Device  |  PASS = Attack Succeeded (Network Vulnerable)  |  FAIL = Attack Blocked (Secure)</t>
  </si>
  <si>
    <t>Target/Protocol</t>
  </si>
  <si>
    <t>Test Date</t>
  </si>
  <si>
    <t>Location</t>
  </si>
  <si>
    <t>Result
(Pass/Fail)</t>
  </si>
  <si>
    <t>Security Impact</t>
  </si>
  <si>
    <t>Recommendation</t>
  </si>
  <si>
    <t xml:space="preserve">  ▶  Attack #1: WPA Handshake Capture   [airodump-ng + aireplay-ng]</t>
  </si>
  <si>
    <t>Attack completed on Dialog_Home_Perera</t>
  </si>
  <si>
    <t>Apply security patches</t>
  </si>
  <si>
    <t>Attack blocked</t>
  </si>
  <si>
    <t>Network secure</t>
  </si>
  <si>
    <t>Attack completed on Mobitel_Home_Fernando</t>
  </si>
  <si>
    <t>Attack completed on SLT_VDSL_Dissanayake</t>
  </si>
  <si>
    <t>Attack completed on Dialog_Fiber_Bandara</t>
  </si>
  <si>
    <t>Attack completed on Mobitel_4G_Weerasinghe</t>
  </si>
  <si>
    <t>Attack completed on Barista_Colombo3_FreeWiFi</t>
  </si>
  <si>
    <t>Attack completed on CoffeeBean_GuestFree</t>
  </si>
  <si>
    <t>Attack completed on KFC_MajesticCity_Free</t>
  </si>
  <si>
    <t>Attack completed on Keells_Super_FreeWiFi</t>
  </si>
  <si>
    <t>Attack completed on Viharamahadevi_FreeNet</t>
  </si>
  <si>
    <t>Attack completed on Arpico_Super_GuestWiFi</t>
  </si>
  <si>
    <t>Attack completed on LibertyPlaza_FreeWiFi</t>
  </si>
  <si>
    <t>Attack completed on PizzaHut_UnionPlace_Guest</t>
  </si>
  <si>
    <t xml:space="preserve">  ▶  Attack #2: Bruteforce – Aircrack-ng   [aircrack-ng]</t>
  </si>
  <si>
    <t xml:space="preserve">  ▶  Attack #3: WPA2/WPA3 Downgrade   [hostapd-wpe]</t>
  </si>
  <si>
    <t>CMC_CivicCenter_Public</t>
  </si>
  <si>
    <t xml:space="preserve">  ▶  Attack #4: PMKID Attack   [hcxdumptool + hcxtools]</t>
  </si>
  <si>
    <t>BoCeylon_LobbyGuest</t>
  </si>
  <si>
    <t xml:space="preserve">  ▶  Attack #5: WPS PIN Attack   [Reaver]</t>
  </si>
  <si>
    <t>UOC_StudentWiFi</t>
  </si>
  <si>
    <t xml:space="preserve">  ▶  Attack #6: Pixie Dust Attack   [Pixiewps]</t>
  </si>
  <si>
    <t>LadyRidgeway_GuestNet</t>
  </si>
  <si>
    <t xml:space="preserve">  ▶  Attack #7: WPA3 DragonBlood   [dragonslayer]</t>
  </si>
  <si>
    <t>NHospital_PatientWiFi</t>
  </si>
  <si>
    <t xml:space="preserve">  ▶  Attack #8: Hashcat GPU Cracking   [Hashcat]</t>
  </si>
  <si>
    <t>Viharamahadevi_FreeWiFi</t>
  </si>
  <si>
    <t xml:space="preserve">  ▶  Attack #9: John the Ripper   [john]</t>
  </si>
  <si>
    <t>GalleFace_CitizenWiFi</t>
  </si>
  <si>
    <t xml:space="preserve">  ▶  Attack #10: Automated Wifite   [Wifite2]</t>
  </si>
  <si>
    <t>Colombo_Fort_FreeNet</t>
  </si>
  <si>
    <t>BIA_Airport_FreeWiFi</t>
  </si>
  <si>
    <t>BIA Airport</t>
  </si>
  <si>
    <t>📊  SUMMARY TABLE — WPA / WPA2 / WPA3 Attack Analysis</t>
  </si>
  <si>
    <t>Tool</t>
  </si>
  <si>
    <t>Total
APs Tested</t>
  </si>
  <si>
    <t>PASS
(Vuln)</t>
  </si>
  <si>
    <t>FAIL
(Secure)</t>
  </si>
  <si>
    <t>Success
Rate %</t>
  </si>
  <si>
    <t>Most Vulnerable
Network</t>
  </si>
  <si>
    <t>Least Vulnerable
Network</t>
  </si>
  <si>
    <t>Avg Risk
Impact</t>
  </si>
  <si>
    <t>Key Recommendation</t>
  </si>
  <si>
    <t>Use strong 16+ char passphrase</t>
  </si>
  <si>
    <t>Apply latest security patches</t>
  </si>
  <si>
    <t>Disable WPS, use WPA3</t>
  </si>
  <si>
    <t>🔬  Evil Twin Attack Analysis  —  Colombo City Wi-Fi Security Assessment 2025–2026</t>
  </si>
  <si>
    <t xml:space="preserve">  ▶  Attack #1: Basic Evil Twin   [hostapd]</t>
  </si>
  <si>
    <t xml:space="preserve">  ▶  Attack #2: Evil Twin + Captive Portal   [hostapd + dnsmasq]</t>
  </si>
  <si>
    <t xml:space="preserve">  ▶  Attack #3: KARMA Attack   [hostapd-karma]</t>
  </si>
  <si>
    <t xml:space="preserve">  ▶  Attack #4: MANA Attack   [MANA toolkit]</t>
  </si>
  <si>
    <t xml:space="preserve">  ▶  Attack #5: Airgeddon Evil Twin   [airgeddon]</t>
  </si>
  <si>
    <t xml:space="preserve">  ▶  Attack #6: Fluxion Evil Twin   [Fluxion]</t>
  </si>
  <si>
    <t>📊  SUMMARY TABLE — Evil Twin Attack Analysis</t>
  </si>
  <si>
    <t>Enable PMF (802.11w)</t>
  </si>
  <si>
    <t>🔬  Phishing Portal Attack Analysis  —  Colombo City Wi-Fi Security Assessment 2025–2026</t>
  </si>
  <si>
    <t xml:space="preserve">  ▶  Attack #1: Social Engineering Toolkit   [SET (se-toolkit)]</t>
  </si>
  <si>
    <t xml:space="preserve">  ▶  Attack #2: BeEF Browser Exploitation   [BeEF Framework]</t>
  </si>
  <si>
    <t xml:space="preserve">  ▶  Attack #3: Wifiphisher Portal   [Wifiphisher]</t>
  </si>
  <si>
    <t xml:space="preserve">  ▶  Attack #4: Fluxion Phishing   [Fluxion]</t>
  </si>
  <si>
    <t xml:space="preserve">  ▶  Attack #5: Custom Phishing Portal   [Apache + custom HTML]</t>
  </si>
  <si>
    <t xml:space="preserve">  ▶  Attack #6: Credential Harvester   [SET Harvester]</t>
  </si>
  <si>
    <t xml:space="preserve">  ▶  Attack #7: QR Code Phishing   [qrcode + SET]</t>
  </si>
  <si>
    <t>📊  SUMMARY TABLE — Phishing Portal Attack Analysis</t>
  </si>
  <si>
    <t>🔬  Man-in-the-Middle (MITM) Attack Analysis  —  Colombo City Wi-Fi Security Assessment 2025–2026</t>
  </si>
  <si>
    <t xml:space="preserve">  ▶  Attack #1: ARP Spoofing   [Ettercap]</t>
  </si>
  <si>
    <t xml:space="preserve">  ▶  Attack #2: Bettercap Full Suite   [Bettercap]</t>
  </si>
  <si>
    <t xml:space="preserve">  ▶  Attack #3: SSL Strip + MITM   [sslstrip + arpspoof]</t>
  </si>
  <si>
    <t xml:space="preserve">  ▶  Attack #4: DNS Spoofing   [Bettercap / dnsspoof]</t>
  </si>
  <si>
    <t xml:space="preserve">  ▶  Attack #5: DHCP Spoofing   [Bettercap / yersinia]</t>
  </si>
  <si>
    <t xml:space="preserve">  ▶  Attack #6: Session Hijacking   [Hamster/Ferret]</t>
  </si>
  <si>
    <t xml:space="preserve">  ▶  Attack #7: Traffic Interception   [Wireshark / tcpdump]</t>
  </si>
  <si>
    <t xml:space="preserve">  ▶  Attack #8: Packet Sniffing   [Wireshark / tcpdump]</t>
  </si>
  <si>
    <t>Enforce HTTPS + HSTS</t>
  </si>
  <si>
    <t>Use DNSSEC + encrypted DNS</t>
  </si>
  <si>
    <t>🔬  Denial of Service (DoS) Attack Analysis  —  Colombo City Wi-Fi Security Assessment 2025–2026</t>
  </si>
  <si>
    <t xml:space="preserve">  ▶  Attack #1: Deauth Flood   [mdk4]</t>
  </si>
  <si>
    <t xml:space="preserve">  ▶  Attack #2: Beacon Flood   [mdk4]</t>
  </si>
  <si>
    <t xml:space="preserve">  ▶  Attack #3: Authentication Flood   [mdk4]</t>
  </si>
  <si>
    <t xml:space="preserve">  ▶  Attack #4: EAPOL Flood   [mdk4]</t>
  </si>
  <si>
    <t xml:space="preserve">  ▶  Attack #5: ARP Flood   [hping3 / Scapy]</t>
  </si>
  <si>
    <t xml:space="preserve">  ▶  Attack #6: SYN Flood   [hping3]</t>
  </si>
  <si>
    <t xml:space="preserve">  ▶  Attack #7: UDP Flood   [hping3]</t>
  </si>
  <si>
    <t xml:space="preserve">  ▶  Attack #8: ICMP Flood   [hping3 / fping]</t>
  </si>
  <si>
    <t xml:space="preserve">  ▶  Attack #9: Deauth – aireplay-ng   [aireplay-ng]</t>
  </si>
  <si>
    <t xml:space="preserve">  ▶  Attack #10: WIDS/WIPS Confusion   [mdk4]</t>
  </si>
  <si>
    <t xml:space="preserve">  ▶  Attack #11: Michael Shutdown (TKIP)   [aireplay-ng]</t>
  </si>
  <si>
    <t>📊  SUMMARY TABLE — Denial of Service (DoS) Attack Analysis</t>
  </si>
  <si>
    <t>Update firmware, enable IDS</t>
  </si>
  <si>
    <t>🔬  Bluetooth Attack Analysis  —  Colombo City Wi-Fi Security Assessment 2025–2026</t>
  </si>
  <si>
    <t xml:space="preserve">  ▶  Attack #1: Bluetooth Discovery   [hcitool / bluetoothctl]</t>
  </si>
  <si>
    <t>Perera_iPhone15</t>
  </si>
  <si>
    <t>A0:B1:C2:D3:E4:F5</t>
  </si>
  <si>
    <t>Device found: Perera_iPhone15</t>
  </si>
  <si>
    <t>Disable BT or enable non-discoverable mode</t>
  </si>
  <si>
    <t>Liyanage_SamsungS24</t>
  </si>
  <si>
    <t>B1:C2:D3:E4:F5:A0</t>
  </si>
  <si>
    <t>Device not discoverable</t>
  </si>
  <si>
    <t>Secure</t>
  </si>
  <si>
    <t>Silva_AirPodsMax</t>
  </si>
  <si>
    <t>C2:D3:E4:F5:A0:B1</t>
  </si>
  <si>
    <t>Jayawardena_GalaxyBuds</t>
  </si>
  <si>
    <t>D3:E4:F5:A0:B1:C2</t>
  </si>
  <si>
    <t>Device found: Jayawardena_GalaxyBuds</t>
  </si>
  <si>
    <t>Fernando_JBLFlip6</t>
  </si>
  <si>
    <t>E4:F5:A0:B1:C2:D3</t>
  </si>
  <si>
    <t>Karunaratne_SonyXM5</t>
  </si>
  <si>
    <t>F5:A0:B1:C2:D3:E4</t>
  </si>
  <si>
    <t>Device found: Karunaratne_SonyXM5</t>
  </si>
  <si>
    <t>Dissanayake_BTHeadset</t>
  </si>
  <si>
    <t>A1:B2:C3:D4:E5:F6</t>
  </si>
  <si>
    <t>Rajapaksa_AppleWatch</t>
  </si>
  <si>
    <t>B2:C3:D4:E5:F6:A1</t>
  </si>
  <si>
    <t>Weerasinghe_LaptopBT</t>
  </si>
  <si>
    <t>C3:D4:E5:F6:A1:B2</t>
  </si>
  <si>
    <t>Device found: Weerasinghe_LaptopBT</t>
  </si>
  <si>
    <t>Bandara_TabBluetooth</t>
  </si>
  <si>
    <t>D4:E5:F6:A1:B2:C3</t>
  </si>
  <si>
    <t>Gunasekara_LGToneWL7</t>
  </si>
  <si>
    <t>E5:F6:A1:B2:C3:D4</t>
  </si>
  <si>
    <t>Device found: Gunasekara_LGToneWL7</t>
  </si>
  <si>
    <t>Wijesinghe_BoseSoundlink</t>
  </si>
  <si>
    <t>F6:A1:B2:C3:D4:E5</t>
  </si>
  <si>
    <t>Liyanage_FitbitBT</t>
  </si>
  <si>
    <t>A2:B3:C4:D5:E6:F7</t>
  </si>
  <si>
    <t>Device found: Liyanage_FitbitBT</t>
  </si>
  <si>
    <t>Silva_NokiaBT</t>
  </si>
  <si>
    <t>B3:C4:D5:E6:F7:A2</t>
  </si>
  <si>
    <t>Device found: Silva_NokiaBT</t>
  </si>
  <si>
    <t>Perera_MiSmartBand</t>
  </si>
  <si>
    <t>C4:D5:E6:F7:A2:B3</t>
  </si>
  <si>
    <t>Karunaratne_BoseQC45</t>
  </si>
  <si>
    <t>D5:E6:F7:A2:B3:C4</t>
  </si>
  <si>
    <t>Device found: Karunaratne_BoseQC45</t>
  </si>
  <si>
    <t>Fernando_Pixel8BT</t>
  </si>
  <si>
    <t>E6:F7:A2:B3:C4:D5</t>
  </si>
  <si>
    <t>Jayawardena_SonyWH1000</t>
  </si>
  <si>
    <t>F7:A2:B3:C4:D5:E6</t>
  </si>
  <si>
    <t>Device found: Jayawardena_SonyWH1000</t>
  </si>
  <si>
    <t>Dissanayake_iPad_BT</t>
  </si>
  <si>
    <t>A3:B4:C5:D6:E7:F8</t>
  </si>
  <si>
    <t>Bandara_HuaweiBand7</t>
  </si>
  <si>
    <t>B4:C5:D6:E7:F8:A3</t>
  </si>
  <si>
    <t>Device found: Bandara_HuaweiBand7</t>
  </si>
  <si>
    <t>Rajapaksa_SonyWF1000</t>
  </si>
  <si>
    <t>C5:D6:E7:F8:A3:B4</t>
  </si>
  <si>
    <t>Weerasinghe_SamsungTab</t>
  </si>
  <si>
    <t>D6:E7:F8:A3:B4:C5</t>
  </si>
  <si>
    <t>Device found: Weerasinghe_SamsungTab</t>
  </si>
  <si>
    <t>Gunasekara_OnePlus12BT</t>
  </si>
  <si>
    <t>E7:F8:A3:B4:C5:D6</t>
  </si>
  <si>
    <t>Device found: Gunasekara_OnePlus12BT</t>
  </si>
  <si>
    <t>Wijesinghe_Xiaomi13BT</t>
  </si>
  <si>
    <t>F8:A3:B4:C5:D6:E7</t>
  </si>
  <si>
    <t>Silva_LaptopHP_BT</t>
  </si>
  <si>
    <t>A4:B5:C6:D7:E8:F9</t>
  </si>
  <si>
    <t>Device found: Silva_LaptopHP_BT</t>
  </si>
  <si>
    <t xml:space="preserve">  ▶  Attack #2: Bluetooth Sniffing   [ubertooth]</t>
  </si>
  <si>
    <t xml:space="preserve">  ▶  Attack #3: BlueSnarf Attack   [obexftp / bluesnarfer]</t>
  </si>
  <si>
    <t xml:space="preserve">  ▶  Attack #4: BlueJacking   [bluejack / hcitool]</t>
  </si>
  <si>
    <t xml:space="preserve">  ▶  Attack #5: BlueBorne Attack   [BlueBorne PoC]</t>
  </si>
  <si>
    <t xml:space="preserve">  ▶  Attack #6: L2CAP Attack   [l2ping / scapy-bt]</t>
  </si>
  <si>
    <t xml:space="preserve">  ▶  Attack #7: Bluetooth DoS   [hcitool / l2ping]</t>
  </si>
  <si>
    <t>📊  SUMMARY TABLE — Bluetooth Attack Analysis</t>
  </si>
  <si>
    <t>🔬  Wired Network Attack Analysis  —  Colombo City Wi-Fi Security Assessment 2025–2026</t>
  </si>
  <si>
    <t xml:space="preserve">  ▶  Attack #1: Network Discovery   [nmap]</t>
  </si>
  <si>
    <t>HomeNet_Perera_LAN (Dialog Fiber)</t>
  </si>
  <si>
    <t>Target: HomeNet_Perera_LAN</t>
  </si>
  <si>
    <t>Apply patches</t>
  </si>
  <si>
    <t>HomeNet_Silva_Wired (SLT Broadband)</t>
  </si>
  <si>
    <t>BB:CC:DD:EE:FF:02</t>
  </si>
  <si>
    <t>Target: HomeNet_Silva_Wired</t>
  </si>
  <si>
    <t>HomeNet_Fernando_LAN (Hutch 4G)</t>
  </si>
  <si>
    <t>CC:DD:EE:FF:AA:03</t>
  </si>
  <si>
    <t>System secure</t>
  </si>
  <si>
    <t>No action needed</t>
  </si>
  <si>
    <t>HomeNet_Jayawardena (Mobitel 4G)</t>
  </si>
  <si>
    <t>DD:EE:FF:AA:BB:04</t>
  </si>
  <si>
    <t>Target: HomeNet_Jayawardena</t>
  </si>
  <si>
    <t>HomeNet_Bandara_Wired (Lanka Bell)</t>
  </si>
  <si>
    <t>EE:FF:AA:BB:CC:05</t>
  </si>
  <si>
    <t>Vulnerability Scan</t>
  </si>
  <si>
    <t>Target: HomeNet_Fernando_LAN</t>
  </si>
  <si>
    <t>Target: HomeNet_Bandara_Wired</t>
  </si>
  <si>
    <t xml:space="preserve">  ▶  Attack #3: Password Cracking   [Hydra]</t>
  </si>
  <si>
    <t xml:space="preserve">  ▶  Attack #4: SQL Injection   [sqlmap]</t>
  </si>
  <si>
    <t xml:space="preserve">  ▶  Attack #5: Metasploit Framework   [Metasploit]</t>
  </si>
  <si>
    <t xml:space="preserve">  ▶  Attack #6: SNMP Attack   [snmpwalk / onesixtyone]</t>
  </si>
  <si>
    <t xml:space="preserve">  ▶  Attack #7: SMB Attack   [Metasploit / CrackMapExec]</t>
  </si>
  <si>
    <t xml:space="preserve">  ▶  Attack #8: FTP Attack   [Hydra / Metasploit]</t>
  </si>
  <si>
    <t>📊  SUMMARY TABLE — Wired Network Attack Analysis</t>
  </si>
  <si>
    <t>HomeNet_Perera_LAN</t>
  </si>
  <si>
    <t>HomeNet_Fernando_LAN</t>
  </si>
  <si>
    <t>Use firewall rules to restrict network scanning</t>
  </si>
  <si>
    <t>HomeNet_Silva_Wired</t>
  </si>
  <si>
    <t>Patch all services; use IDS/IPS to detect scans</t>
  </si>
  <si>
    <t>Use strong passwords + MFA on all auth services</t>
  </si>
  <si>
    <t>Use parameterized queries; enable WAF protection</t>
  </si>
  <si>
    <t>Patch CVEs promptly; disable unused services</t>
  </si>
  <si>
    <t>Disable SNMPv1/v2; use SNMPv3 with strong credentials</t>
  </si>
  <si>
    <t>Disable SMBv1; apply EternalBlue patches immediately</t>
  </si>
  <si>
    <t>Replace FTP with SFTP/FTPS; disable anonymous access</t>
  </si>
  <si>
    <t>📊  CERBERUS — Wi-Fi Security Analysis Charts Dashboard  |  Colombo City  |  25 Access Points</t>
  </si>
  <si>
    <t>Automated security scoring across all 25 real-world Colombo Wi-Fi networks using Kali Linux attack framework</t>
  </si>
  <si>
    <t>Network Security Scores</t>
  </si>
  <si>
    <t>Attack Success Count (out of 25 APs)</t>
  </si>
  <si>
    <t>Rating Distribution</t>
  </si>
  <si>
    <t>Vulnerability by Network Type</t>
  </si>
  <si>
    <t>SSID</t>
  </si>
  <si>
    <t>Score</t>
  </si>
  <si>
    <t>Metric</t>
  </si>
  <si>
    <t>Handshake</t>
  </si>
  <si>
    <t>Count</t>
  </si>
  <si>
    <t>Avg Vuln %</t>
  </si>
  <si>
    <t>PASS (Vuln)</t>
  </si>
  <si>
    <t>Reference</t>
  </si>
  <si>
    <t>Coffee Shop</t>
  </si>
  <si>
    <t>Fast Food</t>
  </si>
  <si>
    <t>Restaurant</t>
  </si>
  <si>
    <t>Retail</t>
  </si>
  <si>
    <t>Shopping Mall</t>
  </si>
  <si>
    <t>Supermarket</t>
  </si>
  <si>
    <t>Hotel</t>
  </si>
  <si>
    <t>Airport</t>
  </si>
  <si>
    <t>Transport Hub</t>
  </si>
  <si>
    <t>Public Park</t>
  </si>
  <si>
    <t>Hospital</t>
  </si>
  <si>
    <t>University</t>
  </si>
  <si>
    <t>Bank</t>
  </si>
  <si>
    <t>Government</t>
  </si>
  <si>
    <t>Attack Success by Encryption Type</t>
  </si>
  <si>
    <t>WPA2+802.1X</t>
  </si>
  <si>
    <t>WPA</t>
  </si>
  <si>
    <t>AP Index</t>
  </si>
  <si>
    <t>Score (sorted)</t>
  </si>
  <si>
    <t xml:space="preserve">  ▶  Attack #2: Vulnerability Scanning   [nmap NSE / OpenVAS]</t>
  </si>
  <si>
    <t>Success
Rate % = PASS/Total Total Aps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</si>
</sst>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0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color rgb="FFFFFFFF"/>
      <name val="Arial"/>
      <charset val="1"/>
    </font>
    <font>
      <sz val="9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555555"/>
      <name val="Arial"/>
      <charset val="1"/>
    </font>
    <font>
      <sz val="9"/>
      <color rgb="FF000000"/>
      <name val="Arial"/>
      <charset val="1"/>
    </font>
    <font>
      <b/>
      <sz val="9"/>
      <color rgb="FFC0392B"/>
      <name val="Arial"/>
      <charset val="1"/>
    </font>
    <font>
      <b/>
      <sz val="9"/>
      <color rgb="FFE67E22"/>
      <name val="Arial"/>
      <charset val="1"/>
    </font>
    <font>
      <b/>
      <sz val="9"/>
      <color rgb="FF27AE60"/>
      <name val="Arial"/>
      <charset val="1"/>
    </font>
    <font>
      <b/>
      <sz val="16"/>
      <color rgb="FFFFFFFF"/>
      <name val="Arial"/>
      <charset val="1"/>
    </font>
    <font>
      <i/>
      <sz val="11"/>
      <color rgb="FFFFFFFF"/>
      <name val="Arial"/>
      <family val="2"/>
      <charset val="1"/>
    </font>
    <font>
      <b/>
      <sz val="12"/>
      <color rgb="FF1F3864"/>
      <name val="Arial"/>
      <charset val="1"/>
    </font>
    <font>
      <b/>
      <sz val="10"/>
      <color rgb="FF2E75B6"/>
      <name val="Arial"/>
      <charset val="1"/>
    </font>
    <font>
      <sz val="10"/>
      <color rgb="FF1F1F1F"/>
      <name val="Arial"/>
      <family val="2"/>
      <charset val="1"/>
    </font>
    <font>
      <sz val="10"/>
      <color rgb="FF1F1F1F"/>
      <name val="Arial"/>
      <charset val="1"/>
    </font>
    <font>
      <b/>
      <sz val="10"/>
      <color rgb="FF1F1F1F"/>
      <name val="Arial"/>
      <charset val="1"/>
    </font>
    <font>
      <b/>
      <sz val="14"/>
      <color rgb="FF70AD47"/>
      <name val="Arial"/>
      <charset val="1"/>
    </font>
    <font>
      <b/>
      <sz val="14"/>
      <color rgb="FF538135"/>
      <name val="Arial"/>
      <charset val="1"/>
    </font>
    <font>
      <b/>
      <sz val="14"/>
      <color rgb="FFFFD966"/>
      <name val="Arial"/>
      <charset val="1"/>
    </font>
    <font>
      <b/>
      <sz val="14"/>
      <color rgb="FFFF6600"/>
      <name val="Arial"/>
      <charset val="1"/>
    </font>
    <font>
      <b/>
      <sz val="14"/>
      <color rgb="FFFF0000"/>
      <name val="Arial"/>
      <charset val="1"/>
    </font>
    <font>
      <i/>
      <sz val="10"/>
      <color rgb="FFFFFFFF"/>
      <name val="Arial"/>
      <charset val="1"/>
    </font>
    <font>
      <b/>
      <sz val="9"/>
      <color rgb="FF000000"/>
      <name val="Arial"/>
      <charset val="1"/>
    </font>
    <font>
      <b/>
      <sz val="9"/>
      <color rgb="FF1F1F1F"/>
      <name val="Arial"/>
      <charset val="1"/>
    </font>
    <font>
      <sz val="9"/>
      <color rgb="FF1F1F1F"/>
      <name val="Arial"/>
      <charset val="1"/>
    </font>
    <font>
      <sz val="9"/>
      <color rgb="FF1F1F1F"/>
      <name val="Arial"/>
      <family val="2"/>
      <charset val="1"/>
    </font>
    <font>
      <b/>
      <sz val="12"/>
      <color rgb="FFFFFFFF"/>
      <name val="Arial"/>
      <charset val="1"/>
    </font>
    <font>
      <b/>
      <sz val="10"/>
      <color rgb="FFFF0000"/>
      <name val="Arial"/>
      <charset val="1"/>
    </font>
    <font>
      <i/>
      <sz val="10"/>
      <color rgb="FF1F3864"/>
      <name val="Arial"/>
      <family val="2"/>
      <charset val="1"/>
    </font>
    <font>
      <b/>
      <sz val="9"/>
      <color rgb="FF2E86C1"/>
      <name val="Arial"/>
      <charset val="1"/>
    </font>
    <font>
      <b/>
      <sz val="9"/>
      <color rgb="FF922B21"/>
      <name val="Arial"/>
      <charset val="1"/>
    </font>
    <font>
      <b/>
      <sz val="9"/>
      <color rgb="FFE74C3C"/>
      <name val="Arial"/>
      <charset val="1"/>
    </font>
    <font>
      <b/>
      <sz val="11"/>
      <color rgb="FFFFFFFF"/>
      <name val="Arial"/>
      <charset val="1"/>
    </font>
    <font>
      <sz val="9"/>
      <color rgb="FFC0392B"/>
      <name val="Arial"/>
      <charset val="1"/>
    </font>
    <font>
      <b/>
      <sz val="14"/>
      <color theme="1"/>
      <name val="Calibri"/>
      <family val="2"/>
      <charset val="1"/>
    </font>
    <font>
      <sz val="11"/>
      <name val="Arial"/>
      <family val="2"/>
      <charset val="1"/>
    </font>
    <font>
      <b/>
      <sz val="11"/>
      <name val="Arial"/>
      <family val="2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2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2"/>
      <name val="Arial"/>
      <family val="2"/>
      <charset val="1"/>
    </font>
    <font>
      <i/>
      <sz val="10"/>
      <color rgb="FFC55A11"/>
      <name val="Arial"/>
      <charset val="1"/>
    </font>
    <font>
      <b/>
      <sz val="13"/>
      <color rgb="FFFFFFFF"/>
      <name val="Arial"/>
      <charset val="1"/>
    </font>
    <font>
      <sz val="8"/>
      <color rgb="FFFFFFFF"/>
      <name val="Arial"/>
      <charset val="1"/>
    </font>
    <font>
      <b/>
      <sz val="9"/>
      <color rgb="FFFFFFFF"/>
      <name val="Arial"/>
      <charset val="1"/>
    </font>
    <font>
      <b/>
      <sz val="15"/>
      <color rgb="FFFFFFFF"/>
      <name val="Arial"/>
      <charset val="1"/>
    </font>
    <font>
      <b/>
      <sz val="10"/>
      <color rgb="FF000000"/>
      <name val="Arial"/>
      <charset val="1"/>
    </font>
    <font>
      <b/>
      <sz val="12"/>
      <color rgb="FFFFFFFF"/>
      <name val="Calibri"/>
    </font>
    <font>
      <b/>
      <sz val="10"/>
      <color rgb="FFFFFFFF"/>
      <name val="Calibri"/>
    </font>
    <font>
      <b/>
      <sz val="11"/>
      <color rgb="FF1A5276"/>
      <name val="Calibri"/>
    </font>
    <font>
      <sz val="11"/>
      <color theme="1"/>
      <name val="Calibri"/>
      <family val="2"/>
      <charset val="1"/>
    </font>
    <font>
      <b/>
      <sz val="13"/>
      <color rgb="FFFFFFFF"/>
      <name val="Arial"/>
    </font>
    <font>
      <sz val="8"/>
      <color rgb="FFFFFFFF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12"/>
      <color rgb="FFFFFFFF"/>
      <name val="Arial"/>
    </font>
    <font>
      <b/>
      <sz val="11"/>
      <color theme="1"/>
      <name val="Calibri"/>
      <family val="2"/>
    </font>
    <font>
      <b/>
      <sz val="9"/>
      <color rgb="FF000000"/>
      <name val="Arial"/>
      <family val="2"/>
    </font>
  </fonts>
  <fills count="73">
    <fill>
      <patternFill patternType="none"/>
    </fill>
    <fill>
      <patternFill patternType="gray125"/>
    </fill>
    <fill>
      <patternFill patternType="solid">
        <fgColor theme="4" tint="0.79989013336588644"/>
        <bgColor rgb="FFD6E4F0"/>
      </patternFill>
    </fill>
    <fill>
      <patternFill patternType="solid">
        <fgColor rgb="FF1B2631"/>
        <bgColor rgb="FF1F1F1F"/>
      </patternFill>
    </fill>
    <fill>
      <patternFill patternType="solid">
        <fgColor rgb="FF2C3E50"/>
        <bgColor rgb="FF1F3864"/>
      </patternFill>
    </fill>
    <fill>
      <patternFill patternType="solid">
        <fgColor rgb="FFFFFFFF"/>
        <bgColor rgb="FFFFFDF5"/>
      </patternFill>
    </fill>
    <fill>
      <patternFill patternType="solid">
        <fgColor rgb="FFF0F4F8"/>
        <bgColor rgb="FFF2F3F4"/>
      </patternFill>
    </fill>
    <fill>
      <patternFill patternType="solid">
        <fgColor rgb="FF1F3864"/>
        <bgColor rgb="FF2C3E50"/>
      </patternFill>
    </fill>
    <fill>
      <patternFill patternType="solid">
        <fgColor rgb="FF2E75B6"/>
        <bgColor rgb="FF2A81BA"/>
      </patternFill>
    </fill>
    <fill>
      <patternFill patternType="solid">
        <fgColor rgb="FFF2F2F2"/>
        <bgColor rgb="FFF2F3F4"/>
      </patternFill>
    </fill>
    <fill>
      <patternFill patternType="solid">
        <fgColor rgb="FFC55A10"/>
        <bgColor rgb="FFB7770D"/>
      </patternFill>
    </fill>
    <fill>
      <patternFill patternType="solid">
        <fgColor rgb="FF71AC47"/>
        <bgColor rgb="FF888889"/>
      </patternFill>
    </fill>
    <fill>
      <patternFill patternType="solid">
        <fgColor rgb="FF548034"/>
        <bgColor rgb="FF1E8449"/>
      </patternFill>
    </fill>
    <fill>
      <patternFill patternType="darkGray">
        <fgColor rgb="FFFFD854"/>
        <bgColor rgb="FFFADBD8"/>
      </patternFill>
    </fill>
    <fill>
      <patternFill patternType="solid">
        <fgColor rgb="FFFF6600"/>
        <bgColor rgb="FFEB8021"/>
      </patternFill>
    </fill>
    <fill>
      <patternFill patternType="solid">
        <fgColor rgb="FFFF0000"/>
        <bgColor rgb="FFBC3528"/>
      </patternFill>
    </fill>
    <fill>
      <patternFill patternType="solid">
        <fgColor rgb="FFBCD7F0"/>
        <bgColor rgb="FFD6DCE4"/>
      </patternFill>
    </fill>
    <fill>
      <patternFill patternType="solid">
        <fgColor rgb="FF7B0000"/>
        <bgColor rgb="FF4A235A"/>
      </patternFill>
    </fill>
    <fill>
      <patternFill patternType="solid">
        <fgColor rgb="FF4A235A"/>
        <bgColor rgb="FF2C3E50"/>
      </patternFill>
    </fill>
    <fill>
      <patternFill patternType="mediumGray">
        <fgColor rgb="FF703588"/>
        <bgColor rgb="FF8E44AD"/>
      </patternFill>
    </fill>
    <fill>
      <patternFill patternType="solid">
        <fgColor rgb="FFD6DCE4"/>
        <bgColor rgb="FFDCDCDC"/>
      </patternFill>
    </fill>
    <fill>
      <patternFill patternType="solid">
        <fgColor rgb="FFFFFACD"/>
        <bgColor rgb="FFFEF9E7"/>
      </patternFill>
    </fill>
    <fill>
      <patternFill patternType="darkGray">
        <fgColor rgb="FFBC3528"/>
        <bgColor rgb="FFE64D3D"/>
      </patternFill>
    </fill>
    <fill>
      <patternFill patternType="solid">
        <fgColor rgb="FFE64D3D"/>
        <bgColor rgb="FFC55A10"/>
      </patternFill>
    </fill>
    <fill>
      <patternFill patternType="solid">
        <fgColor rgb="FFFEF9F9"/>
        <bgColor rgb="FFFDFAFF"/>
      </patternFill>
    </fill>
    <fill>
      <patternFill patternType="solid">
        <fgColor rgb="FFDCDCDC"/>
        <bgColor rgb="FFD6DCE4"/>
      </patternFill>
    </fill>
    <fill>
      <patternFill patternType="solid">
        <fgColor rgb="FFFADBD8"/>
        <bgColor rgb="FFDCDCDC"/>
      </patternFill>
    </fill>
    <fill>
      <patternFill patternType="solid">
        <fgColor rgb="FF703588"/>
        <bgColor rgb="FF8E44AD"/>
      </patternFill>
    </fill>
    <fill>
      <patternFill patternType="solid">
        <fgColor rgb="FF8E44AD"/>
        <bgColor rgb="FF703588"/>
      </patternFill>
    </fill>
    <fill>
      <patternFill patternType="solid">
        <fgColor rgb="FFFDFAFF"/>
        <bgColor rgb="FFFEF9F9"/>
      </patternFill>
    </fill>
    <fill>
      <patternFill patternType="solid">
        <fgColor rgb="FFF5EEF8"/>
        <bgColor rgb="FFF2F2F2"/>
      </patternFill>
    </fill>
    <fill>
      <patternFill patternType="solid">
        <fgColor rgb="FFB7770D"/>
        <bgColor rgb="FFC55A10"/>
      </patternFill>
    </fill>
    <fill>
      <patternFill patternType="solid">
        <fgColor rgb="FFEB8021"/>
        <bgColor rgb="FFFF6600"/>
      </patternFill>
    </fill>
    <fill>
      <patternFill patternType="solid">
        <fgColor rgb="FFFFFDF5"/>
        <bgColor rgb="FFFEF9F9"/>
      </patternFill>
    </fill>
    <fill>
      <patternFill patternType="solid">
        <fgColor rgb="FFFEF9E7"/>
        <bgColor rgb="FFFFFDF5"/>
      </patternFill>
    </fill>
    <fill>
      <patternFill patternType="solid">
        <fgColor rgb="FF1A5276"/>
        <bgColor rgb="FF1C4E7A"/>
      </patternFill>
    </fill>
    <fill>
      <patternFill patternType="solid">
        <fgColor rgb="FF2A81BA"/>
        <bgColor rgb="FF2E75B6"/>
      </patternFill>
    </fill>
    <fill>
      <patternFill patternType="solid">
        <fgColor rgb="FFF5FBFF"/>
        <bgColor rgb="FFF8F9FA"/>
      </patternFill>
    </fill>
    <fill>
      <patternFill patternType="solid">
        <fgColor rgb="FFEBF5FB"/>
        <bgColor rgb="FFF0F4F8"/>
      </patternFill>
    </fill>
    <fill>
      <patternFill patternType="solid">
        <fgColor rgb="FF1E8449"/>
        <bgColor rgb="FF548034"/>
      </patternFill>
    </fill>
    <fill>
      <patternFill patternType="solid">
        <fgColor rgb="FF27AE60"/>
        <bgColor rgb="FF1E8449"/>
      </patternFill>
    </fill>
    <fill>
      <patternFill patternType="solid">
        <fgColor rgb="FFF5FFF8"/>
        <bgColor rgb="FFF5FBFF"/>
      </patternFill>
    </fill>
    <fill>
      <patternFill patternType="solid">
        <fgColor rgb="FFEAFAF1"/>
        <bgColor rgb="FFEBF5FB"/>
      </patternFill>
    </fill>
    <fill>
      <patternFill patternType="solid">
        <fgColor rgb="FF1C4E7A"/>
        <bgColor rgb="FF1A5276"/>
      </patternFill>
    </fill>
    <fill>
      <patternFill patternType="solid">
        <fgColor rgb="FF2470A1"/>
        <bgColor rgb="FF2E75B6"/>
      </patternFill>
    </fill>
    <fill>
      <patternFill patternType="solid">
        <fgColor rgb="FF4D5656"/>
        <bgColor rgb="FF58575B"/>
      </patternFill>
    </fill>
    <fill>
      <patternFill patternType="solid">
        <fgColor rgb="FF727B80"/>
        <bgColor rgb="FF888889"/>
      </patternFill>
    </fill>
    <fill>
      <patternFill patternType="solid">
        <fgColor rgb="FFFAFAFA"/>
        <bgColor rgb="FFF8F9FA"/>
      </patternFill>
    </fill>
    <fill>
      <patternFill patternType="solid">
        <fgColor rgb="FFF2F3F4"/>
        <bgColor rgb="FFF2F2F2"/>
      </patternFill>
    </fill>
    <fill>
      <patternFill patternType="solid">
        <fgColor rgb="FFD6E4F0"/>
        <bgColor rgb="FFDCE6F2"/>
      </patternFill>
    </fill>
    <fill>
      <patternFill patternType="solid">
        <fgColor rgb="FFF8F9FA"/>
        <bgColor rgb="FFFAFAFA"/>
      </patternFill>
    </fill>
    <fill>
      <patternFill patternType="solid">
        <fgColor rgb="FFD5F5E3"/>
        <bgColor rgb="FFEAFAF1"/>
      </patternFill>
    </fill>
    <fill>
      <patternFill patternType="solid">
        <fgColor rgb="FFFFFFFF"/>
      </patternFill>
    </fill>
    <fill>
      <patternFill patternType="solid">
        <fgColor rgb="FFC0392B"/>
      </patternFill>
    </fill>
    <fill>
      <patternFill patternType="solid">
        <fgColor rgb="FFFADBD8"/>
      </patternFill>
    </fill>
    <fill>
      <patternFill patternType="solid">
        <fgColor rgb="FF8E44AD"/>
      </patternFill>
    </fill>
    <fill>
      <patternFill patternType="solid">
        <fgColor rgb="FFE8DAEF"/>
      </patternFill>
    </fill>
    <fill>
      <patternFill patternType="solid">
        <fgColor rgb="FF1A5276"/>
      </patternFill>
    </fill>
    <fill>
      <patternFill patternType="solid">
        <fgColor rgb="FFD4E6F1"/>
      </patternFill>
    </fill>
    <fill>
      <patternFill patternType="solid">
        <fgColor rgb="FF7D6608"/>
      </patternFill>
    </fill>
    <fill>
      <patternFill patternType="solid">
        <fgColor rgb="FFB7950B"/>
      </patternFill>
    </fill>
    <fill>
      <patternFill patternType="solid">
        <fgColor rgb="FFFCF3CF"/>
      </patternFill>
    </fill>
    <fill>
      <patternFill patternType="solid">
        <fgColor rgb="FF154360"/>
      </patternFill>
    </fill>
    <fill>
      <patternFill patternType="solid">
        <fgColor rgb="FFD6EAF8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4D5656"/>
      </patternFill>
    </fill>
    <fill>
      <patternFill patternType="solid">
        <fgColor rgb="FF717D7E"/>
      </patternFill>
    </fill>
    <fill>
      <patternFill patternType="solid">
        <fgColor rgb="FF1C4E7A"/>
      </patternFill>
    </fill>
    <fill>
      <patternFill patternType="solid">
        <fgColor rgb="FF2471A3"/>
      </patternFill>
    </fill>
    <fill>
      <patternFill patternType="solid">
        <fgColor rgb="FFB7770D"/>
      </patternFill>
    </fill>
    <fill>
      <patternFill patternType="solid">
        <fgColor rgb="FFE67E22"/>
      </patternFill>
    </fill>
    <fill>
      <patternFill patternType="solid">
        <fgColor rgb="FF6C3483"/>
      </patternFill>
    </fill>
    <fill>
      <patternFill patternType="solid">
        <fgColor rgb="FFE74C3C"/>
      </patternFill>
    </fill>
  </fills>
  <borders count="21">
    <border>
      <left/>
      <right/>
      <top/>
      <bottom/>
      <diagonal/>
    </border>
    <border>
      <left style="thin">
        <color rgb="FFA9AAAB"/>
      </left>
      <right style="thin">
        <color rgb="FFA9AAAB"/>
      </right>
      <top style="thin">
        <color rgb="FFA9AAAB"/>
      </top>
      <bottom style="thin">
        <color rgb="FFA9AAA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888889"/>
      </left>
      <right style="thin">
        <color rgb="FF888889"/>
      </right>
      <top style="thin">
        <color rgb="FF888889"/>
      </top>
      <bottom style="thin">
        <color rgb="FF888889"/>
      </bottom>
      <diagonal/>
    </border>
    <border>
      <left/>
      <right/>
      <top/>
      <bottom style="thin">
        <color rgb="FF888889"/>
      </bottom>
      <diagonal/>
    </border>
    <border>
      <left/>
      <right/>
      <top style="thin">
        <color rgb="FF888889"/>
      </top>
      <bottom style="thin">
        <color rgb="FF888889"/>
      </bottom>
      <diagonal/>
    </border>
    <border>
      <left/>
      <right style="thin">
        <color rgb="FF888889"/>
      </right>
      <top style="thin">
        <color rgb="FF888889"/>
      </top>
      <bottom style="thin">
        <color rgb="FF888889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888888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3">
    <xf numFmtId="0" fontId="0" fillId="0" borderId="0"/>
    <xf numFmtId="0" fontId="52" fillId="2" borderId="0"/>
    <xf numFmtId="0" fontId="1" fillId="64" borderId="0" applyNumberFormat="0" applyBorder="0" applyAlignment="0" applyProtection="0"/>
  </cellStyleXfs>
  <cellXfs count="294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13" fillId="9" borderId="2" xfId="0" applyFont="1" applyFill="1" applyBorder="1" applyAlignment="1">
      <alignment horizontal="left" vertical="center"/>
    </xf>
    <xf numFmtId="0" fontId="14" fillId="9" borderId="2" xfId="0" applyFont="1" applyFill="1" applyBorder="1" applyAlignment="1">
      <alignment horizontal="left" vertical="center"/>
    </xf>
    <xf numFmtId="0" fontId="15" fillId="9" borderId="2" xfId="0" applyFont="1" applyFill="1" applyBorder="1" applyAlignment="1">
      <alignment horizontal="left" vertical="center"/>
    </xf>
    <xf numFmtId="0" fontId="13" fillId="5" borderId="2" xfId="0" applyFont="1" applyFill="1" applyBorder="1" applyAlignment="1">
      <alignment horizontal="left" vertical="center"/>
    </xf>
    <xf numFmtId="0" fontId="15" fillId="5" borderId="2" xfId="0" applyFont="1" applyFill="1" applyBorder="1" applyAlignment="1">
      <alignment horizontal="left" vertical="center"/>
    </xf>
    <xf numFmtId="0" fontId="4" fillId="10" borderId="2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left" vertical="center"/>
    </xf>
    <xf numFmtId="0" fontId="16" fillId="9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left" vertical="center" wrapText="1"/>
    </xf>
    <xf numFmtId="0" fontId="17" fillId="0" borderId="2" xfId="0" applyFont="1" applyBorder="1" applyAlignment="1">
      <alignment horizontal="center" vertical="center"/>
    </xf>
    <xf numFmtId="0" fontId="4" fillId="12" borderId="2" xfId="0" applyFont="1" applyFill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3" fillId="16" borderId="1" xfId="0" applyFont="1" applyFill="1" applyBorder="1" applyAlignment="1">
      <alignment horizontal="center" vertical="center"/>
    </xf>
    <xf numFmtId="0" fontId="23" fillId="1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0" borderId="3" xfId="0" applyBorder="1"/>
    <xf numFmtId="0" fontId="4" fillId="17" borderId="3" xfId="0" applyFont="1" applyFill="1" applyBorder="1" applyAlignment="1">
      <alignment horizontal="center" vertical="center" wrapText="1"/>
    </xf>
    <xf numFmtId="14" fontId="0" fillId="2" borderId="3" xfId="0" applyNumberForma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/>
    </xf>
    <xf numFmtId="0" fontId="0" fillId="2" borderId="3" xfId="0" applyFill="1" applyBorder="1"/>
    <xf numFmtId="0" fontId="16" fillId="20" borderId="0" xfId="0" applyFont="1" applyFill="1" applyAlignment="1">
      <alignment horizontal="left" vertical="center"/>
    </xf>
    <xf numFmtId="0" fontId="14" fillId="21" borderId="0" xfId="0" applyFont="1" applyFill="1" applyAlignment="1">
      <alignment horizontal="left" vertical="center"/>
    </xf>
    <xf numFmtId="0" fontId="15" fillId="21" borderId="0" xfId="0" applyFont="1" applyFill="1" applyAlignment="1">
      <alignment horizontal="left" vertical="center"/>
    </xf>
    <xf numFmtId="0" fontId="4" fillId="18" borderId="2" xfId="0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center" vertical="center"/>
    </xf>
    <xf numFmtId="0" fontId="25" fillId="5" borderId="2" xfId="0" applyFont="1" applyFill="1" applyBorder="1" applyAlignment="1">
      <alignment horizontal="left" vertical="center"/>
    </xf>
    <xf numFmtId="0" fontId="25" fillId="5" borderId="2" xfId="0" applyFont="1" applyFill="1" applyBorder="1" applyAlignment="1">
      <alignment horizontal="left" vertical="center" wrapText="1"/>
    </xf>
    <xf numFmtId="0" fontId="26" fillId="5" borderId="2" xfId="0" applyFont="1" applyFill="1" applyBorder="1" applyAlignment="1">
      <alignment horizontal="left" vertical="center"/>
    </xf>
    <xf numFmtId="0" fontId="26" fillId="5" borderId="2" xfId="0" applyFont="1" applyFill="1" applyBorder="1" applyAlignment="1">
      <alignment horizontal="center" vertical="center"/>
    </xf>
    <xf numFmtId="0" fontId="26" fillId="5" borderId="2" xfId="0" applyFont="1" applyFill="1" applyBorder="1" applyAlignment="1">
      <alignment horizontal="left" vertical="center" wrapText="1"/>
    </xf>
    <xf numFmtId="0" fontId="25" fillId="5" borderId="2" xfId="0" applyFont="1" applyFill="1" applyBorder="1" applyAlignment="1">
      <alignment horizontal="center" vertical="center"/>
    </xf>
    <xf numFmtId="0" fontId="24" fillId="9" borderId="2" xfId="0" applyFont="1" applyFill="1" applyBorder="1" applyAlignment="1">
      <alignment horizontal="center" vertical="center"/>
    </xf>
    <xf numFmtId="0" fontId="25" fillId="9" borderId="2" xfId="0" applyFont="1" applyFill="1" applyBorder="1" applyAlignment="1">
      <alignment horizontal="left" vertical="center"/>
    </xf>
    <xf numFmtId="0" fontId="25" fillId="9" borderId="2" xfId="0" applyFont="1" applyFill="1" applyBorder="1" applyAlignment="1">
      <alignment horizontal="left" vertical="center" wrapText="1"/>
    </xf>
    <xf numFmtId="0" fontId="26" fillId="9" borderId="2" xfId="0" applyFont="1" applyFill="1" applyBorder="1" applyAlignment="1">
      <alignment horizontal="left" vertical="center"/>
    </xf>
    <xf numFmtId="0" fontId="26" fillId="9" borderId="2" xfId="0" applyFont="1" applyFill="1" applyBorder="1" applyAlignment="1">
      <alignment horizontal="center" vertical="center"/>
    </xf>
    <xf numFmtId="0" fontId="26" fillId="9" borderId="2" xfId="0" applyFont="1" applyFill="1" applyBorder="1" applyAlignment="1">
      <alignment horizontal="left" vertical="center" wrapText="1"/>
    </xf>
    <xf numFmtId="0" fontId="25" fillId="9" borderId="2" xfId="0" applyFont="1" applyFill="1" applyBorder="1" applyAlignment="1">
      <alignment horizontal="center" vertical="center"/>
    </xf>
    <xf numFmtId="0" fontId="28" fillId="21" borderId="0" xfId="0" applyFont="1" applyFill="1" applyAlignment="1">
      <alignment horizontal="left" vertical="center"/>
    </xf>
    <xf numFmtId="0" fontId="4" fillId="7" borderId="2" xfId="0" applyFont="1" applyFill="1" applyBorder="1" applyAlignment="1">
      <alignment horizontal="center" vertical="center" wrapText="1"/>
    </xf>
    <xf numFmtId="0" fontId="16" fillId="20" borderId="2" xfId="0" applyFont="1" applyFill="1" applyBorder="1" applyAlignment="1">
      <alignment horizontal="center" vertical="center"/>
    </xf>
    <xf numFmtId="0" fontId="0" fillId="0" borderId="2" xfId="0" applyBorder="1"/>
    <xf numFmtId="0" fontId="6" fillId="16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left" vertical="center"/>
    </xf>
    <xf numFmtId="0" fontId="30" fillId="16" borderId="1" xfId="0" applyFont="1" applyFill="1" applyBorder="1" applyAlignment="1">
      <alignment horizontal="center" vertical="center"/>
    </xf>
    <xf numFmtId="0" fontId="30" fillId="6" borderId="1" xfId="0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center" vertical="center"/>
    </xf>
    <xf numFmtId="0" fontId="30" fillId="5" borderId="1" xfId="0" applyFont="1" applyFill="1" applyBorder="1" applyAlignment="1">
      <alignment horizontal="center" vertical="center"/>
    </xf>
    <xf numFmtId="0" fontId="32" fillId="6" borderId="1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/>
    </xf>
    <xf numFmtId="0" fontId="34" fillId="5" borderId="1" xfId="0" applyFont="1" applyFill="1" applyBorder="1" applyAlignment="1">
      <alignment horizontal="center" vertical="center"/>
    </xf>
    <xf numFmtId="0" fontId="35" fillId="0" borderId="4" xfId="0" applyFont="1" applyBorder="1"/>
    <xf numFmtId="0" fontId="35" fillId="0" borderId="5" xfId="0" applyFont="1" applyBorder="1" applyAlignment="1">
      <alignment horizontal="center"/>
    </xf>
    <xf numFmtId="0" fontId="35" fillId="0" borderId="4" xfId="0" applyFont="1" applyBorder="1" applyAlignment="1">
      <alignment horizontal="center"/>
    </xf>
    <xf numFmtId="0" fontId="36" fillId="0" borderId="4" xfId="0" applyFont="1" applyBorder="1"/>
    <xf numFmtId="0" fontId="37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38" fillId="0" borderId="4" xfId="0" applyFont="1" applyBorder="1"/>
    <xf numFmtId="0" fontId="38" fillId="0" borderId="5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39" fillId="0" borderId="4" xfId="0" applyFont="1" applyBorder="1"/>
    <xf numFmtId="0" fontId="39" fillId="0" borderId="4" xfId="0" applyFont="1" applyBorder="1" applyAlignment="1">
      <alignment horizontal="center"/>
    </xf>
    <xf numFmtId="0" fontId="40" fillId="0" borderId="4" xfId="0" applyFont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left"/>
    </xf>
    <xf numFmtId="0" fontId="41" fillId="0" borderId="4" xfId="0" applyFont="1" applyBorder="1" applyAlignment="1">
      <alignment horizontal="center"/>
    </xf>
    <xf numFmtId="0" fontId="42" fillId="0" borderId="5" xfId="0" applyFont="1" applyBorder="1" applyAlignment="1">
      <alignment horizontal="center"/>
    </xf>
    <xf numFmtId="0" fontId="40" fillId="0" borderId="4" xfId="0" applyFont="1" applyBorder="1"/>
    <xf numFmtId="0" fontId="43" fillId="0" borderId="4" xfId="0" applyFont="1" applyBorder="1" applyAlignment="1">
      <alignment horizontal="center" vertical="center"/>
    </xf>
    <xf numFmtId="0" fontId="46" fillId="22" borderId="9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left" vertical="center"/>
    </xf>
    <xf numFmtId="0" fontId="7" fillId="24" borderId="1" xfId="0" applyFont="1" applyFill="1" applyBorder="1" applyAlignment="1">
      <alignment horizontal="center" vertical="center"/>
    </xf>
    <xf numFmtId="0" fontId="0" fillId="25" borderId="0" xfId="0" applyFill="1"/>
    <xf numFmtId="0" fontId="6" fillId="26" borderId="1" xfId="0" applyFont="1" applyFill="1" applyBorder="1" applyAlignment="1">
      <alignment horizontal="center" vertical="center"/>
    </xf>
    <xf numFmtId="0" fontId="6" fillId="26" borderId="1" xfId="0" applyFont="1" applyFill="1" applyBorder="1" applyAlignment="1">
      <alignment horizontal="left" vertical="center"/>
    </xf>
    <xf numFmtId="0" fontId="7" fillId="26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horizontal="center" vertical="center"/>
    </xf>
    <xf numFmtId="0" fontId="46" fillId="27" borderId="9" xfId="0" applyFont="1" applyFill="1" applyBorder="1" applyAlignment="1">
      <alignment horizontal="center" vertical="center" wrapText="1"/>
    </xf>
    <xf numFmtId="0" fontId="6" fillId="29" borderId="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left" vertical="center"/>
    </xf>
    <xf numFmtId="0" fontId="7" fillId="29" borderId="1" xfId="0" applyFont="1" applyFill="1" applyBorder="1" applyAlignment="1">
      <alignment horizontal="center" vertical="center"/>
    </xf>
    <xf numFmtId="0" fontId="6" fillId="30" borderId="1" xfId="0" applyFont="1" applyFill="1" applyBorder="1" applyAlignment="1">
      <alignment horizontal="center" vertical="center"/>
    </xf>
    <xf numFmtId="0" fontId="6" fillId="30" borderId="1" xfId="0" applyFont="1" applyFill="1" applyBorder="1" applyAlignment="1">
      <alignment horizontal="left" vertical="center"/>
    </xf>
    <xf numFmtId="0" fontId="7" fillId="30" borderId="1" xfId="0" applyFont="1" applyFill="1" applyBorder="1" applyAlignment="1">
      <alignment horizontal="center" vertical="center"/>
    </xf>
    <xf numFmtId="0" fontId="46" fillId="31" borderId="9" xfId="0" applyFont="1" applyFill="1" applyBorder="1" applyAlignment="1">
      <alignment horizontal="center" vertical="center" wrapText="1"/>
    </xf>
    <xf numFmtId="0" fontId="6" fillId="33" borderId="1" xfId="0" applyFont="1" applyFill="1" applyBorder="1" applyAlignment="1">
      <alignment horizontal="center" vertical="center"/>
    </xf>
    <xf numFmtId="0" fontId="6" fillId="33" borderId="1" xfId="0" applyFont="1" applyFill="1" applyBorder="1" applyAlignment="1">
      <alignment horizontal="left" vertical="center"/>
    </xf>
    <xf numFmtId="0" fontId="7" fillId="33" borderId="1" xfId="0" applyFont="1" applyFill="1" applyBorder="1" applyAlignment="1">
      <alignment horizontal="center" vertical="center"/>
    </xf>
    <xf numFmtId="0" fontId="6" fillId="34" borderId="1" xfId="0" applyFont="1" applyFill="1" applyBorder="1" applyAlignment="1">
      <alignment horizontal="center" vertical="center"/>
    </xf>
    <xf numFmtId="0" fontId="6" fillId="34" borderId="1" xfId="0" applyFont="1" applyFill="1" applyBorder="1" applyAlignment="1">
      <alignment horizontal="left" vertical="center"/>
    </xf>
    <xf numFmtId="0" fontId="7" fillId="34" borderId="1" xfId="0" applyFont="1" applyFill="1" applyBorder="1" applyAlignment="1">
      <alignment horizontal="center" vertical="center"/>
    </xf>
    <xf numFmtId="0" fontId="8" fillId="33" borderId="1" xfId="0" applyFont="1" applyFill="1" applyBorder="1" applyAlignment="1">
      <alignment horizontal="center" vertical="center"/>
    </xf>
    <xf numFmtId="0" fontId="46" fillId="35" borderId="9" xfId="0" applyFont="1" applyFill="1" applyBorder="1" applyAlignment="1">
      <alignment horizontal="center" vertical="center" wrapText="1"/>
    </xf>
    <xf numFmtId="0" fontId="6" fillId="37" borderId="1" xfId="0" applyFont="1" applyFill="1" applyBorder="1" applyAlignment="1">
      <alignment horizontal="center" vertical="center"/>
    </xf>
    <xf numFmtId="0" fontId="6" fillId="37" borderId="1" xfId="0" applyFont="1" applyFill="1" applyBorder="1" applyAlignment="1">
      <alignment horizontal="left" vertical="center"/>
    </xf>
    <xf numFmtId="0" fontId="7" fillId="37" borderId="1" xfId="0" applyFont="1" applyFill="1" applyBorder="1" applyAlignment="1">
      <alignment horizontal="center" vertical="center"/>
    </xf>
    <xf numFmtId="0" fontId="6" fillId="38" borderId="1" xfId="0" applyFont="1" applyFill="1" applyBorder="1" applyAlignment="1">
      <alignment horizontal="center" vertical="center"/>
    </xf>
    <xf numFmtId="0" fontId="6" fillId="38" borderId="1" xfId="0" applyFont="1" applyFill="1" applyBorder="1" applyAlignment="1">
      <alignment horizontal="left" vertical="center"/>
    </xf>
    <xf numFmtId="0" fontId="7" fillId="38" borderId="1" xfId="0" applyFont="1" applyFill="1" applyBorder="1" applyAlignment="1">
      <alignment horizontal="center" vertical="center"/>
    </xf>
    <xf numFmtId="0" fontId="8" fillId="37" borderId="1" xfId="0" applyFont="1" applyFill="1" applyBorder="1" applyAlignment="1">
      <alignment horizontal="center" vertical="center"/>
    </xf>
    <xf numFmtId="0" fontId="8" fillId="38" borderId="1" xfId="0" applyFont="1" applyFill="1" applyBorder="1" applyAlignment="1">
      <alignment horizontal="center" vertical="center"/>
    </xf>
    <xf numFmtId="0" fontId="46" fillId="39" borderId="9" xfId="0" applyFont="1" applyFill="1" applyBorder="1" applyAlignment="1">
      <alignment horizontal="center" vertical="center" wrapText="1"/>
    </xf>
    <xf numFmtId="0" fontId="6" fillId="41" borderId="1" xfId="0" applyFont="1" applyFill="1" applyBorder="1" applyAlignment="1">
      <alignment horizontal="center" vertical="center"/>
    </xf>
    <xf numFmtId="0" fontId="6" fillId="41" borderId="1" xfId="0" applyFont="1" applyFill="1" applyBorder="1" applyAlignment="1">
      <alignment horizontal="left" vertical="center"/>
    </xf>
    <xf numFmtId="0" fontId="7" fillId="41" borderId="1" xfId="0" applyFont="1" applyFill="1" applyBorder="1" applyAlignment="1">
      <alignment horizontal="center" vertical="center"/>
    </xf>
    <xf numFmtId="0" fontId="6" fillId="42" borderId="1" xfId="0" applyFont="1" applyFill="1" applyBorder="1" applyAlignment="1">
      <alignment horizontal="center" vertical="center"/>
    </xf>
    <xf numFmtId="0" fontId="6" fillId="42" borderId="1" xfId="0" applyFont="1" applyFill="1" applyBorder="1" applyAlignment="1">
      <alignment horizontal="left" vertical="center"/>
    </xf>
    <xf numFmtId="0" fontId="8" fillId="42" borderId="1" xfId="0" applyFont="1" applyFill="1" applyBorder="1" applyAlignment="1">
      <alignment horizontal="center" vertical="center"/>
    </xf>
    <xf numFmtId="0" fontId="8" fillId="41" borderId="1" xfId="0" applyFont="1" applyFill="1" applyBorder="1" applyAlignment="1">
      <alignment horizontal="center" vertical="center"/>
    </xf>
    <xf numFmtId="0" fontId="7" fillId="42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9" fillId="42" borderId="1" xfId="0" applyFont="1" applyFill="1" applyBorder="1" applyAlignment="1">
      <alignment horizontal="center" vertical="center"/>
    </xf>
    <xf numFmtId="0" fontId="9" fillId="41" borderId="1" xfId="0" applyFont="1" applyFill="1" applyBorder="1" applyAlignment="1">
      <alignment horizontal="center" vertical="center"/>
    </xf>
    <xf numFmtId="0" fontId="46" fillId="43" borderId="9" xfId="0" applyFont="1" applyFill="1" applyBorder="1" applyAlignment="1">
      <alignment horizontal="center" vertical="center" wrapText="1"/>
    </xf>
    <xf numFmtId="0" fontId="9" fillId="37" borderId="1" xfId="0" applyFont="1" applyFill="1" applyBorder="1" applyAlignment="1">
      <alignment horizontal="center" vertical="center"/>
    </xf>
    <xf numFmtId="0" fontId="9" fillId="38" borderId="1" xfId="0" applyFont="1" applyFill="1" applyBorder="1" applyAlignment="1">
      <alignment horizontal="center" vertical="center"/>
    </xf>
    <xf numFmtId="0" fontId="4" fillId="46" borderId="9" xfId="0" applyFont="1" applyFill="1" applyBorder="1" applyAlignment="1">
      <alignment horizontal="left" vertical="center"/>
    </xf>
    <xf numFmtId="0" fontId="0" fillId="0" borderId="11" xfId="0" applyBorder="1"/>
    <xf numFmtId="0" fontId="0" fillId="0" borderId="12" xfId="0" applyBorder="1"/>
    <xf numFmtId="0" fontId="6" fillId="47" borderId="1" xfId="0" applyFont="1" applyFill="1" applyBorder="1" applyAlignment="1">
      <alignment horizontal="center" vertical="center"/>
    </xf>
    <xf numFmtId="0" fontId="6" fillId="47" borderId="1" xfId="0" applyFont="1" applyFill="1" applyBorder="1" applyAlignment="1">
      <alignment horizontal="left" vertical="center"/>
    </xf>
    <xf numFmtId="0" fontId="9" fillId="47" borderId="1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left" vertical="center"/>
    </xf>
    <xf numFmtId="0" fontId="8" fillId="48" borderId="1" xfId="0" applyFont="1" applyFill="1" applyBorder="1" applyAlignment="1">
      <alignment horizontal="center" vertical="center"/>
    </xf>
    <xf numFmtId="0" fontId="0" fillId="49" borderId="4" xfId="0" applyFill="1" applyBorder="1" applyAlignment="1">
      <alignment horizontal="center" vertical="center" wrapText="1"/>
    </xf>
    <xf numFmtId="0" fontId="0" fillId="49" borderId="4" xfId="0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0" fillId="5" borderId="4" xfId="0" applyFill="1" applyBorder="1" applyAlignment="1">
      <alignment horizontal="left" vertical="center" wrapText="1"/>
    </xf>
    <xf numFmtId="0" fontId="0" fillId="5" borderId="4" xfId="0" applyFill="1" applyBorder="1" applyAlignment="1">
      <alignment horizontal="center" vertical="center" wrapText="1"/>
    </xf>
    <xf numFmtId="0" fontId="23" fillId="49" borderId="4" xfId="0" applyFont="1" applyFill="1" applyBorder="1" applyAlignment="1">
      <alignment horizontal="center" vertical="center" wrapText="1"/>
    </xf>
    <xf numFmtId="0" fontId="23" fillId="49" borderId="4" xfId="0" applyFont="1" applyFill="1" applyBorder="1" applyAlignment="1">
      <alignment horizontal="left" vertical="center" wrapText="1"/>
    </xf>
    <xf numFmtId="0" fontId="7" fillId="49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left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6" fillId="49" borderId="4" xfId="0" applyFont="1" applyFill="1" applyBorder="1" applyAlignment="1">
      <alignment horizontal="center" vertical="center" wrapText="1"/>
    </xf>
    <xf numFmtId="0" fontId="6" fillId="49" borderId="4" xfId="0" applyFont="1" applyFill="1" applyBorder="1" applyAlignment="1">
      <alignment horizontal="left" vertical="center" wrapText="1"/>
    </xf>
    <xf numFmtId="0" fontId="7" fillId="47" borderId="1" xfId="0" applyFont="1" applyFill="1" applyBorder="1" applyAlignment="1">
      <alignment horizontal="center" vertical="center"/>
    </xf>
    <xf numFmtId="0" fontId="7" fillId="48" borderId="1" xfId="0" applyFont="1" applyFill="1" applyBorder="1" applyAlignment="1">
      <alignment horizontal="center" vertical="center"/>
    </xf>
    <xf numFmtId="0" fontId="27" fillId="45" borderId="0" xfId="0" applyFont="1" applyFill="1" applyAlignment="1">
      <alignment horizontal="center" vertical="center"/>
    </xf>
    <xf numFmtId="0" fontId="46" fillId="46" borderId="1" xfId="0" applyFont="1" applyFill="1" applyBorder="1" applyAlignment="1">
      <alignment horizontal="center" vertical="center" wrapText="1"/>
    </xf>
    <xf numFmtId="0" fontId="46" fillId="4" borderId="1" xfId="0" applyFont="1" applyFill="1" applyBorder="1" applyAlignment="1">
      <alignment horizontal="center" vertical="center"/>
    </xf>
    <xf numFmtId="0" fontId="46" fillId="23" borderId="1" xfId="0" applyFont="1" applyFill="1" applyBorder="1" applyAlignment="1">
      <alignment horizontal="center" vertical="center"/>
    </xf>
    <xf numFmtId="0" fontId="7" fillId="26" borderId="1" xfId="0" applyFont="1" applyFill="1" applyBorder="1"/>
    <xf numFmtId="0" fontId="48" fillId="26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48" fillId="50" borderId="1" xfId="0" applyFont="1" applyFill="1" applyBorder="1" applyAlignment="1">
      <alignment horizontal="center" vertical="center"/>
    </xf>
    <xf numFmtId="0" fontId="6" fillId="50" borderId="1" xfId="0" applyFont="1" applyFill="1" applyBorder="1" applyAlignment="1">
      <alignment horizontal="left" vertical="center"/>
    </xf>
    <xf numFmtId="0" fontId="6" fillId="50" borderId="1" xfId="0" applyFont="1" applyFill="1" applyBorder="1" applyAlignment="1">
      <alignment horizontal="center" vertical="center"/>
    </xf>
    <xf numFmtId="0" fontId="6" fillId="34" borderId="1" xfId="0" applyFont="1" applyFill="1" applyBorder="1"/>
    <xf numFmtId="0" fontId="30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left" vertical="center"/>
    </xf>
    <xf numFmtId="0" fontId="32" fillId="5" borderId="1" xfId="0" applyFont="1" applyFill="1" applyBorder="1" applyAlignment="1">
      <alignment horizontal="left" vertical="center"/>
    </xf>
    <xf numFmtId="0" fontId="31" fillId="5" borderId="1" xfId="0" applyFont="1" applyFill="1" applyBorder="1" applyAlignment="1">
      <alignment horizontal="left" vertical="center"/>
    </xf>
    <xf numFmtId="0" fontId="46" fillId="4" borderId="1" xfId="0" applyFont="1" applyFill="1" applyBorder="1" applyAlignment="1">
      <alignment horizontal="center" vertical="center" wrapText="1"/>
    </xf>
    <xf numFmtId="0" fontId="9" fillId="50" borderId="1" xfId="0" applyFont="1" applyFill="1" applyBorder="1"/>
    <xf numFmtId="0" fontId="6" fillId="51" borderId="1" xfId="0" applyFont="1" applyFill="1" applyBorder="1" applyAlignment="1">
      <alignment horizontal="center" vertical="center"/>
    </xf>
    <xf numFmtId="0" fontId="30" fillId="50" borderId="1" xfId="0" applyFont="1" applyFill="1" applyBorder="1"/>
    <xf numFmtId="0" fontId="8" fillId="50" borderId="1" xfId="0" applyFont="1" applyFill="1" applyBorder="1"/>
    <xf numFmtId="0" fontId="32" fillId="50" borderId="1" xfId="0" applyFont="1" applyFill="1" applyBorder="1"/>
    <xf numFmtId="0" fontId="31" fillId="50" borderId="1" xfId="0" applyFont="1" applyFill="1" applyBorder="1"/>
    <xf numFmtId="0" fontId="0" fillId="50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1" fillId="16" borderId="1" xfId="0" applyFont="1" applyFill="1" applyBorder="1" applyAlignment="1">
      <alignment horizontal="center" vertical="center"/>
    </xf>
    <xf numFmtId="0" fontId="51" fillId="24" borderId="1" xfId="0" applyFont="1" applyFill="1" applyBorder="1" applyAlignment="1">
      <alignment horizontal="center" vertical="center"/>
    </xf>
    <xf numFmtId="0" fontId="51" fillId="26" borderId="1" xfId="0" applyFont="1" applyFill="1" applyBorder="1" applyAlignment="1">
      <alignment horizontal="center" vertical="center"/>
    </xf>
    <xf numFmtId="0" fontId="51" fillId="25" borderId="0" xfId="0" applyFont="1" applyFill="1" applyAlignment="1">
      <alignment horizontal="center" vertical="center"/>
    </xf>
    <xf numFmtId="0" fontId="6" fillId="52" borderId="17" xfId="0" applyFont="1" applyFill="1" applyBorder="1" applyAlignment="1">
      <alignment horizontal="center" vertical="center" wrapText="1"/>
    </xf>
    <xf numFmtId="0" fontId="6" fillId="52" borderId="17" xfId="0" applyFont="1" applyFill="1" applyBorder="1" applyAlignment="1">
      <alignment horizontal="left" vertical="center" wrapText="1"/>
    </xf>
    <xf numFmtId="0" fontId="51" fillId="29" borderId="1" xfId="0" applyFont="1" applyFill="1" applyBorder="1" applyAlignment="1">
      <alignment horizontal="center" vertical="center"/>
    </xf>
    <xf numFmtId="0" fontId="51" fillId="30" borderId="1" xfId="0" applyFont="1" applyFill="1" applyBorder="1" applyAlignment="1">
      <alignment horizontal="center" vertical="center"/>
    </xf>
    <xf numFmtId="0" fontId="6" fillId="54" borderId="17" xfId="0" applyFont="1" applyFill="1" applyBorder="1" applyAlignment="1">
      <alignment horizontal="center" vertical="center" wrapText="1"/>
    </xf>
    <xf numFmtId="0" fontId="6" fillId="54" borderId="17" xfId="0" applyFont="1" applyFill="1" applyBorder="1" applyAlignment="1">
      <alignment horizontal="left" vertical="center" wrapText="1"/>
    </xf>
    <xf numFmtId="0" fontId="51" fillId="33" borderId="1" xfId="0" applyFont="1" applyFill="1" applyBorder="1" applyAlignment="1">
      <alignment horizontal="center" vertical="center"/>
    </xf>
    <xf numFmtId="0" fontId="51" fillId="34" borderId="1" xfId="0" applyFont="1" applyFill="1" applyBorder="1" applyAlignment="1">
      <alignment horizontal="center" vertical="center"/>
    </xf>
    <xf numFmtId="0" fontId="6" fillId="56" borderId="17" xfId="0" applyFont="1" applyFill="1" applyBorder="1" applyAlignment="1">
      <alignment horizontal="center" vertical="center" wrapText="1"/>
    </xf>
    <xf numFmtId="0" fontId="6" fillId="56" borderId="17" xfId="0" applyFont="1" applyFill="1" applyBorder="1" applyAlignment="1">
      <alignment horizontal="left" vertical="center" wrapText="1"/>
    </xf>
    <xf numFmtId="0" fontId="51" fillId="37" borderId="1" xfId="0" applyFont="1" applyFill="1" applyBorder="1" applyAlignment="1">
      <alignment horizontal="center" vertical="center"/>
    </xf>
    <xf numFmtId="0" fontId="51" fillId="38" borderId="1" xfId="0" applyFont="1" applyFill="1" applyBorder="1" applyAlignment="1">
      <alignment horizontal="center" vertical="center"/>
    </xf>
    <xf numFmtId="0" fontId="6" fillId="58" borderId="17" xfId="0" applyFont="1" applyFill="1" applyBorder="1" applyAlignment="1">
      <alignment horizontal="center" vertical="center" wrapText="1"/>
    </xf>
    <xf numFmtId="0" fontId="6" fillId="58" borderId="17" xfId="0" applyFont="1" applyFill="1" applyBorder="1" applyAlignment="1">
      <alignment horizontal="left" vertical="center" wrapText="1"/>
    </xf>
    <xf numFmtId="0" fontId="51" fillId="41" borderId="1" xfId="0" applyFont="1" applyFill="1" applyBorder="1" applyAlignment="1">
      <alignment horizontal="center" vertical="center"/>
    </xf>
    <xf numFmtId="0" fontId="51" fillId="42" borderId="1" xfId="0" applyFont="1" applyFill="1" applyBorder="1" applyAlignment="1">
      <alignment horizontal="center" vertical="center"/>
    </xf>
    <xf numFmtId="0" fontId="50" fillId="60" borderId="17" xfId="0" applyFont="1" applyFill="1" applyBorder="1" applyAlignment="1">
      <alignment horizontal="center" vertical="center" wrapText="1"/>
    </xf>
    <xf numFmtId="0" fontId="6" fillId="61" borderId="17" xfId="0" applyFont="1" applyFill="1" applyBorder="1" applyAlignment="1">
      <alignment horizontal="center" vertical="center" wrapText="1"/>
    </xf>
    <xf numFmtId="0" fontId="6" fillId="61" borderId="17" xfId="0" applyFont="1" applyFill="1" applyBorder="1" applyAlignment="1">
      <alignment horizontal="left" vertical="center" wrapText="1"/>
    </xf>
    <xf numFmtId="0" fontId="50" fillId="57" borderId="17" xfId="0" applyFont="1" applyFill="1" applyBorder="1" applyAlignment="1">
      <alignment horizontal="center" vertical="center" wrapText="1"/>
    </xf>
    <xf numFmtId="0" fontId="6" fillId="63" borderId="17" xfId="0" applyFont="1" applyFill="1" applyBorder="1" applyAlignment="1">
      <alignment horizontal="center" vertical="center" wrapText="1"/>
    </xf>
    <xf numFmtId="0" fontId="6" fillId="63" borderId="17" xfId="0" applyFont="1" applyFill="1" applyBorder="1" applyAlignment="1">
      <alignment horizontal="left" vertical="center" wrapText="1"/>
    </xf>
    <xf numFmtId="0" fontId="51" fillId="47" borderId="1" xfId="0" applyFont="1" applyFill="1" applyBorder="1" applyAlignment="1">
      <alignment horizontal="center" vertical="center"/>
    </xf>
    <xf numFmtId="0" fontId="51" fillId="0" borderId="11" xfId="0" applyFont="1" applyBorder="1" applyAlignment="1">
      <alignment horizontal="center" vertical="center"/>
    </xf>
    <xf numFmtId="0" fontId="51" fillId="48" borderId="1" xfId="0" applyFont="1" applyFill="1" applyBorder="1" applyAlignment="1">
      <alignment horizontal="center" vertical="center"/>
    </xf>
    <xf numFmtId="0" fontId="55" fillId="65" borderId="18" xfId="0" applyFont="1" applyFill="1" applyBorder="1" applyAlignment="1">
      <alignment horizontal="center" vertical="center" wrapText="1"/>
    </xf>
    <xf numFmtId="0" fontId="55" fillId="66" borderId="20" xfId="0" applyFont="1" applyFill="1" applyBorder="1" applyAlignment="1">
      <alignment horizontal="center" vertical="center" wrapText="1"/>
    </xf>
    <xf numFmtId="0" fontId="55" fillId="68" borderId="20" xfId="0" applyFont="1" applyFill="1" applyBorder="1" applyAlignment="1">
      <alignment horizontal="center" vertical="center" wrapText="1"/>
    </xf>
    <xf numFmtId="0" fontId="55" fillId="70" borderId="20" xfId="0" applyFont="1" applyFill="1" applyBorder="1" applyAlignment="1">
      <alignment horizontal="center" vertical="center" wrapText="1"/>
    </xf>
    <xf numFmtId="0" fontId="55" fillId="55" borderId="20" xfId="0" applyFont="1" applyFill="1" applyBorder="1" applyAlignment="1">
      <alignment horizontal="center" vertical="center" wrapText="1"/>
    </xf>
    <xf numFmtId="0" fontId="55" fillId="72" borderId="20" xfId="0" applyFont="1" applyFill="1" applyBorder="1" applyAlignment="1">
      <alignment horizontal="center" vertical="center" wrapText="1"/>
    </xf>
    <xf numFmtId="0" fontId="1" fillId="64" borderId="17" xfId="2" applyBorder="1" applyAlignment="1">
      <alignment horizontal="center" vertical="center" wrapText="1"/>
    </xf>
    <xf numFmtId="0" fontId="1" fillId="64" borderId="17" xfId="2" applyBorder="1" applyAlignment="1">
      <alignment horizontal="left" vertical="center" wrapText="1"/>
    </xf>
    <xf numFmtId="0" fontId="1" fillId="64" borderId="0" xfId="2"/>
    <xf numFmtId="0" fontId="3" fillId="4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1" fillId="8" borderId="0" xfId="0" applyFont="1" applyFill="1" applyAlignment="1">
      <alignment horizontal="center" vertical="center"/>
    </xf>
    <xf numFmtId="0" fontId="22" fillId="8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17" borderId="3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22" fillId="10" borderId="3" xfId="0" applyFont="1" applyFill="1" applyBorder="1" applyAlignment="1">
      <alignment horizontal="center" vertical="center"/>
    </xf>
    <xf numFmtId="0" fontId="22" fillId="19" borderId="0" xfId="0" applyFont="1" applyFill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12" fillId="20" borderId="0" xfId="0" applyFont="1" applyFill="1" applyAlignment="1">
      <alignment horizontal="center" vertical="center"/>
    </xf>
    <xf numFmtId="0" fontId="16" fillId="20" borderId="2" xfId="0" applyFont="1" applyFill="1" applyBorder="1" applyAlignment="1">
      <alignment horizontal="center" vertical="center"/>
    </xf>
    <xf numFmtId="0" fontId="0" fillId="0" borderId="15" xfId="0" applyBorder="1"/>
    <xf numFmtId="0" fontId="0" fillId="0" borderId="16" xfId="0" applyBorder="1"/>
    <xf numFmtId="0" fontId="29" fillId="9" borderId="0" xfId="0" applyFont="1" applyFill="1" applyAlignment="1">
      <alignment horizontal="center" vertical="center"/>
    </xf>
    <xf numFmtId="0" fontId="33" fillId="8" borderId="0" xfId="0" applyFont="1" applyFill="1" applyAlignment="1">
      <alignment horizontal="center" vertical="center"/>
    </xf>
    <xf numFmtId="0" fontId="44" fillId="22" borderId="0" xfId="0" applyFont="1" applyFill="1" applyAlignment="1">
      <alignment horizontal="center" vertical="center"/>
    </xf>
    <xf numFmtId="0" fontId="57" fillId="53" borderId="0" xfId="0" applyFont="1" applyFill="1" applyAlignment="1">
      <alignment horizontal="center" vertical="center"/>
    </xf>
    <xf numFmtId="0" fontId="4" fillId="23" borderId="9" xfId="0" applyFont="1" applyFill="1" applyBorder="1" applyAlignment="1">
      <alignment horizontal="left" vertical="center"/>
    </xf>
    <xf numFmtId="0" fontId="0" fillId="0" borderId="11" xfId="0" applyBorder="1"/>
    <xf numFmtId="0" fontId="0" fillId="0" borderId="12" xfId="0" applyBorder="1"/>
    <xf numFmtId="0" fontId="45" fillId="23" borderId="0" xfId="0" applyFont="1" applyFill="1" applyAlignment="1">
      <alignment horizontal="center" vertical="center"/>
    </xf>
    <xf numFmtId="0" fontId="44" fillId="27" borderId="0" xfId="0" applyFont="1" applyFill="1" applyAlignment="1">
      <alignment horizontal="center" vertical="center"/>
    </xf>
    <xf numFmtId="0" fontId="4" fillId="28" borderId="9" xfId="0" applyFont="1" applyFill="1" applyBorder="1" applyAlignment="1">
      <alignment horizontal="left" vertical="center"/>
    </xf>
    <xf numFmtId="0" fontId="57" fillId="71" borderId="0" xfId="0" applyFont="1" applyFill="1" applyAlignment="1">
      <alignment horizontal="center" vertical="center"/>
    </xf>
    <xf numFmtId="0" fontId="45" fillId="28" borderId="0" xfId="0" applyFont="1" applyFill="1" applyAlignment="1">
      <alignment horizontal="center" vertical="center"/>
    </xf>
    <xf numFmtId="0" fontId="57" fillId="69" borderId="0" xfId="0" applyFont="1" applyFill="1" applyAlignment="1">
      <alignment horizontal="center" vertical="center"/>
    </xf>
    <xf numFmtId="0" fontId="4" fillId="32" borderId="9" xfId="0" applyFont="1" applyFill="1" applyBorder="1" applyAlignment="1">
      <alignment horizontal="left" vertical="center"/>
    </xf>
    <xf numFmtId="0" fontId="44" fillId="31" borderId="0" xfId="0" applyFont="1" applyFill="1" applyAlignment="1">
      <alignment horizontal="center" vertical="center"/>
    </xf>
    <xf numFmtId="0" fontId="45" fillId="32" borderId="0" xfId="0" applyFont="1" applyFill="1" applyAlignment="1">
      <alignment horizontal="center" vertical="center"/>
    </xf>
    <xf numFmtId="0" fontId="44" fillId="35" borderId="0" xfId="0" applyFont="1" applyFill="1" applyAlignment="1">
      <alignment horizontal="center" vertical="center"/>
    </xf>
    <xf numFmtId="0" fontId="57" fillId="67" borderId="0" xfId="0" applyFont="1" applyFill="1" applyAlignment="1">
      <alignment horizontal="center" vertical="center"/>
    </xf>
    <xf numFmtId="0" fontId="4" fillId="36" borderId="9" xfId="0" applyFont="1" applyFill="1" applyBorder="1" applyAlignment="1">
      <alignment horizontal="left" vertical="center"/>
    </xf>
    <xf numFmtId="0" fontId="45" fillId="36" borderId="0" xfId="0" applyFont="1" applyFill="1" applyAlignment="1">
      <alignment horizontal="center" vertical="center"/>
    </xf>
    <xf numFmtId="0" fontId="44" fillId="39" borderId="0" xfId="0" applyFont="1" applyFill="1" applyAlignment="1">
      <alignment horizontal="center" vertical="center"/>
    </xf>
    <xf numFmtId="0" fontId="4" fillId="40" borderId="9" xfId="0" applyFont="1" applyFill="1" applyBorder="1" applyAlignment="1">
      <alignment horizontal="left" vertical="center"/>
    </xf>
    <xf numFmtId="0" fontId="49" fillId="59" borderId="0" xfId="0" applyFont="1" applyFill="1" applyAlignment="1">
      <alignment horizontal="left" vertical="center"/>
    </xf>
    <xf numFmtId="0" fontId="45" fillId="40" borderId="10" xfId="0" applyFont="1" applyFill="1" applyBorder="1" applyAlignment="1">
      <alignment horizontal="center" vertical="center"/>
    </xf>
    <xf numFmtId="0" fontId="0" fillId="0" borderId="10" xfId="0" applyBorder="1"/>
    <xf numFmtId="0" fontId="49" fillId="62" borderId="0" xfId="0" applyFont="1" applyFill="1" applyAlignment="1">
      <alignment horizontal="left" vertical="center"/>
    </xf>
    <xf numFmtId="0" fontId="4" fillId="44" borderId="9" xfId="0" applyFont="1" applyFill="1" applyBorder="1" applyAlignment="1">
      <alignment horizontal="left" vertical="center"/>
    </xf>
    <xf numFmtId="0" fontId="44" fillId="43" borderId="0" xfId="0" applyFont="1" applyFill="1" applyAlignment="1">
      <alignment horizontal="center" vertical="center"/>
    </xf>
    <xf numFmtId="0" fontId="45" fillId="44" borderId="0" xfId="0" applyFont="1" applyFill="1" applyAlignment="1">
      <alignment horizontal="center" vertical="center"/>
    </xf>
    <xf numFmtId="0" fontId="53" fillId="65" borderId="0" xfId="0" applyFont="1" applyFill="1" applyAlignment="1">
      <alignment horizontal="center" vertical="center"/>
    </xf>
    <xf numFmtId="0" fontId="54" fillId="66" borderId="0" xfId="0" applyFont="1" applyFill="1" applyAlignment="1">
      <alignment horizontal="center" vertical="center"/>
    </xf>
    <xf numFmtId="0" fontId="57" fillId="65" borderId="0" xfId="0" applyFont="1" applyFill="1" applyAlignment="1">
      <alignment horizontal="center" vertical="center"/>
    </xf>
    <xf numFmtId="0" fontId="56" fillId="66" borderId="18" xfId="0" applyFont="1" applyFill="1" applyBorder="1" applyAlignment="1">
      <alignment horizontal="left" vertical="center"/>
    </xf>
    <xf numFmtId="0" fontId="56" fillId="66" borderId="19" xfId="0" applyFont="1" applyFill="1" applyBorder="1" applyAlignment="1">
      <alignment horizontal="left" vertical="center"/>
    </xf>
    <xf numFmtId="0" fontId="56" fillId="66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0" fontId="58" fillId="0" borderId="0" xfId="0" applyFont="1" applyAlignment="1">
      <alignment wrapText="1"/>
    </xf>
    <xf numFmtId="0" fontId="59" fillId="47" borderId="1" xfId="0" applyFont="1" applyFill="1" applyBorder="1" applyAlignment="1">
      <alignment horizontal="left" vertical="center" wrapText="1"/>
    </xf>
  </cellXfs>
  <cellStyles count="3">
    <cellStyle name="20% - Accent2" xfId="2" builtinId="34"/>
    <cellStyle name="Excel Built-in 20% - Accent1" xfId="1" xr:uid="{00000000-0005-0000-0000-000006000000}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F5FFF8"/>
      <rgbColor rgb="FFF8F9FA"/>
      <rgbColor rgb="FFF2F2F2"/>
      <rgbColor rgb="FFB7770D"/>
      <rgbColor rgb="FFF0F4F8"/>
      <rgbColor rgb="FF7B0000"/>
      <rgbColor rgb="FF1A5276"/>
      <rgbColor rgb="FFFAFAFA"/>
      <rgbColor rgb="FF548034"/>
      <rgbColor rgb="FF58575B"/>
      <rgbColor rgb="FF1E8449"/>
      <rgbColor rgb="FFBFBFBF"/>
      <rgbColor rgb="FF888889"/>
      <rgbColor rgb="FFD6E4F0"/>
      <rgbColor rgb="FF703588"/>
      <rgbColor rgb="FFFFFACD"/>
      <rgbColor rgb="FFEAFAF1"/>
      <rgbColor rgb="FF4A235A"/>
      <rgbColor rgb="FFE64D3D"/>
      <rgbColor rgb="FF2470A1"/>
      <rgbColor rgb="FFBCD7F0"/>
      <rgbColor rgb="FFFDFAFF"/>
      <rgbColor rgb="FFFEF9F9"/>
      <rgbColor rgb="FFFFFDF5"/>
      <rgbColor rgb="FFF2F3F4"/>
      <rgbColor rgb="FF4D5656"/>
      <rgbColor rgb="FFC55A10"/>
      <rgbColor rgb="FF2A81BA"/>
      <rgbColor rgb="FFF5FBFF"/>
      <rgbColor rgb="FFF5EEF8"/>
      <rgbColor rgb="FFEBF5FB"/>
      <rgbColor rgb="FFD5F5E3"/>
      <rgbColor rgb="FFFEF9E7"/>
      <rgbColor rgb="FFBBBBBB"/>
      <rgbColor rgb="FFDCDCDC"/>
      <rgbColor rgb="FFD6DCE4"/>
      <rgbColor rgb="FFFADBD8"/>
      <rgbColor rgb="FF2E75B6"/>
      <rgbColor rgb="FFDCE6F2"/>
      <rgbColor rgb="FF71AC47"/>
      <rgbColor rgb="FFFFD854"/>
      <rgbColor rgb="FFEB8021"/>
      <rgbColor rgb="FFFF6600"/>
      <rgbColor rgb="FF727B80"/>
      <rgbColor rgb="FFA9AAAB"/>
      <rgbColor rgb="FF1F3864"/>
      <rgbColor rgb="FF27AE60"/>
      <rgbColor rgb="FF1B2631"/>
      <rgbColor rgb="FF1F1F1F"/>
      <rgbColor rgb="FFBC3528"/>
      <rgbColor rgb="FF8E44AD"/>
      <rgbColor rgb="FF1C4E7A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Vulnerability Radar — CafeNet_Free vs HomeRouter_5G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'📉 Charts_Dashboard'!$B$12</c:f>
              <c:strCache>
                <c:ptCount val="1"/>
                <c:pt idx="0">
                  <c:v>Personal (Dialog)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'📉 Charts_Dashboard'!$A$13:$A$18</c:f>
              <c:strCache>
                <c:ptCount val="6"/>
                <c:pt idx="0">
                  <c:v>SLT_Home_Gunasekara</c:v>
                </c:pt>
                <c:pt idx="1">
                  <c:v>Mobitel_4G_Weerasinghe</c:v>
                </c:pt>
                <c:pt idx="2">
                  <c:v>Dialog_Home_Liyanage</c:v>
                </c:pt>
                <c:pt idx="3">
                  <c:v>Barista_Colombo3_FreeWiFi</c:v>
                </c:pt>
                <c:pt idx="4">
                  <c:v>CoffeeBean_GuestFree</c:v>
                </c:pt>
                <c:pt idx="5">
                  <c:v>McDonalds_Colpetty_Free</c:v>
                </c:pt>
              </c:strCache>
            </c:strRef>
          </c:cat>
          <c:val>
            <c:numRef>
              <c:f>'📉 Charts_Dashboard'!$B$13:$B$18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CC-4E31-AB60-4CE288818D6F}"/>
            </c:ext>
          </c:extLst>
        </c:ser>
        <c:ser>
          <c:idx val="1"/>
          <c:order val="1"/>
          <c:tx>
            <c:strRef>
              <c:f>'📉 Charts_Dashboard'!$C$12</c:f>
              <c:strCache>
                <c:ptCount val="1"/>
                <c:pt idx="0">
                  <c:v>92.5</c:v>
                </c:pt>
              </c:strCache>
            </c:strRef>
          </c:tx>
          <c:spPr>
            <a:gradFill>
              <a:gsLst>
                <a:gs pos="0">
                  <a:srgbClr val="9C2F2C"/>
                </a:gs>
                <a:gs pos="80000">
                  <a:srgbClr val="CB3D39"/>
                </a:gs>
                <a:gs pos="100000">
                  <a:srgbClr val="CE3A36"/>
                </a:gs>
              </a:gsLst>
              <a:lin ang="16200000"/>
            </a:gradFill>
            <a:ln w="0">
              <a:noFill/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'📉 Charts_Dashboard'!$A$13:$A$18</c:f>
              <c:strCache>
                <c:ptCount val="6"/>
                <c:pt idx="0">
                  <c:v>SLT_Home_Gunasekara</c:v>
                </c:pt>
                <c:pt idx="1">
                  <c:v>Mobitel_4G_Weerasinghe</c:v>
                </c:pt>
                <c:pt idx="2">
                  <c:v>Dialog_Home_Liyanage</c:v>
                </c:pt>
                <c:pt idx="3">
                  <c:v>Barista_Colombo3_FreeWiFi</c:v>
                </c:pt>
                <c:pt idx="4">
                  <c:v>CoffeeBean_GuestFree</c:v>
                </c:pt>
                <c:pt idx="5">
                  <c:v>McDonalds_Colpetty_Free</c:v>
                </c:pt>
              </c:strCache>
            </c:strRef>
          </c:cat>
          <c:val>
            <c:numRef>
              <c:f>'📉 Charts_Dashboard'!$C$13:$C$18</c:f>
              <c:numCache>
                <c:formatCode>General</c:formatCode>
                <c:ptCount val="6"/>
                <c:pt idx="0">
                  <c:v>65</c:v>
                </c:pt>
                <c:pt idx="1">
                  <c:v>5</c:v>
                </c:pt>
                <c:pt idx="2">
                  <c:v>70</c:v>
                </c:pt>
                <c:pt idx="3">
                  <c:v>70</c:v>
                </c:pt>
                <c:pt idx="4">
                  <c:v>15</c:v>
                </c:pt>
                <c:pt idx="5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CC-4E31-AB60-4CE288818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633916"/>
        <c:axId val="10539956"/>
      </c:radarChart>
      <c:catAx>
        <c:axId val="776339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539956"/>
        <c:crosses val="autoZero"/>
        <c:auto val="1"/>
        <c:lblAlgn val="ctr"/>
        <c:lblOffset val="100"/>
        <c:noMultiLvlLbl val="0"/>
      </c:catAx>
      <c:valAx>
        <c:axId val="105399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633916"/>
        <c:crosses val="autoZero"/>
        <c:crossBetween val="midCat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Expected vs Actual Attack Duration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'📉 Charts_Dashboard'!$B$22</c:f>
              <c:strCache>
                <c:ptCount val="1"/>
                <c:pt idx="0">
                  <c:v>Public Free</c:v>
                </c:pt>
              </c:strCache>
            </c:strRef>
          </c:tx>
          <c:spPr>
            <a:solidFill>
              <a:srgbClr val="4672A8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'📉 Charts_Dashboard'!$A$23:$A$27</c:f>
              <c:strCache>
                <c:ptCount val="5"/>
                <c:pt idx="0">
                  <c:v>Viharamahadevi_FreeNet</c:v>
                </c:pt>
                <c:pt idx="1">
                  <c:v>Cargills_FoodCity_WiFi</c:v>
                </c:pt>
                <c:pt idx="2">
                  <c:v>Arpico_Super_GuestWiFi</c:v>
                </c:pt>
                <c:pt idx="3">
                  <c:v>LibertyPlaza_FreeWiFi</c:v>
                </c:pt>
                <c:pt idx="4">
                  <c:v>Colombo_Fort_PublicNet</c:v>
                </c:pt>
              </c:strCache>
            </c:strRef>
          </c:cat>
          <c:val>
            <c:numRef>
              <c:f>'📉 Charts_Dashboard'!$B$23:$B$27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C3-438A-90B9-177292420DB4}"/>
            </c:ext>
          </c:extLst>
        </c:ser>
        <c:ser>
          <c:idx val="1"/>
          <c:order val="1"/>
          <c:tx>
            <c:strRef>
              <c:f>'📉 Charts_Dashboard'!$C$22</c:f>
              <c:strCache>
                <c:ptCount val="1"/>
                <c:pt idx="0">
                  <c:v>70</c:v>
                </c:pt>
              </c:strCache>
            </c:strRef>
          </c:tx>
          <c:spPr>
            <a:solidFill>
              <a:srgbClr val="93A9CE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'📉 Charts_Dashboard'!$A$23:$A$27</c:f>
              <c:strCache>
                <c:ptCount val="5"/>
                <c:pt idx="0">
                  <c:v>Viharamahadevi_FreeNet</c:v>
                </c:pt>
                <c:pt idx="1">
                  <c:v>Cargills_FoodCity_WiFi</c:v>
                </c:pt>
                <c:pt idx="2">
                  <c:v>Arpico_Super_GuestWiFi</c:v>
                </c:pt>
                <c:pt idx="3">
                  <c:v>LibertyPlaza_FreeWiFi</c:v>
                </c:pt>
                <c:pt idx="4">
                  <c:v>Colombo_Fort_PublicNet</c:v>
                </c:pt>
              </c:strCache>
            </c:strRef>
          </c:cat>
          <c:val>
            <c:numRef>
              <c:f>'📉 Charts_Dashboard'!$C$23:$C$27</c:f>
              <c:numCache>
                <c:formatCode>General</c:formatCode>
                <c:ptCount val="5"/>
                <c:pt idx="0">
                  <c:v>70</c:v>
                </c:pt>
                <c:pt idx="1">
                  <c:v>72.5</c:v>
                </c:pt>
                <c:pt idx="2">
                  <c:v>22.5</c:v>
                </c:pt>
                <c:pt idx="3">
                  <c:v>22.5</c:v>
                </c:pt>
                <c:pt idx="4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C3-438A-90B9-177292420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478108"/>
        <c:axId val="64704171"/>
      </c:barChart>
      <c:catAx>
        <c:axId val="414781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Attack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704171"/>
        <c:crosses val="autoZero"/>
        <c:auto val="1"/>
        <c:lblAlgn val="ctr"/>
        <c:lblOffset val="100"/>
        <c:noMultiLvlLbl val="0"/>
      </c:catAx>
      <c:valAx>
        <c:axId val="647041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Duration (minutes)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478108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US" sz="1400" b="0" strike="noStrike" spc="-1">
                <a:solidFill>
                  <a:srgbClr val="595959"/>
                </a:solidFill>
                <a:latin typeface="Calibri"/>
              </a:rPr>
              <a:t>Score Of Acsess point 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'📉 Charts_Dashboard'!$A$4</c:f>
              <c:strCache>
                <c:ptCount val="1"/>
                <c:pt idx="0">
                  <c:v>Dialog_Home_Perera</c:v>
                </c:pt>
              </c:strCache>
            </c:strRef>
          </c:tx>
          <c:spPr>
            <a:solidFill>
              <a:srgbClr val="4F81B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'📉 Charts_Dashboard'!$C$4</c:f>
              <c:numCache>
                <c:formatCode>General</c:formatCode>
                <c:ptCount val="1"/>
                <c:pt idx="0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64-475E-A09F-F1C3B3542E27}"/>
            </c:ext>
          </c:extLst>
        </c:ser>
        <c:ser>
          <c:idx val="1"/>
          <c:order val="1"/>
          <c:tx>
            <c:strRef>
              <c:f>'📉 Charts_Dashboard'!$A$5</c:f>
              <c:strCache>
                <c:ptCount val="1"/>
                <c:pt idx="0">
                  <c:v>SLT_Fiber_Jayawardena</c:v>
                </c:pt>
              </c:strCache>
            </c:strRef>
          </c:tx>
          <c:spPr>
            <a:solidFill>
              <a:srgbClr val="C0504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'📉 Charts_Dashboard'!$C$5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64-475E-A09F-F1C3B3542E27}"/>
            </c:ext>
          </c:extLst>
        </c:ser>
        <c:ser>
          <c:idx val="2"/>
          <c:order val="2"/>
          <c:tx>
            <c:strRef>
              <c:f>'📉 Charts_Dashboard'!$A$6</c:f>
              <c:strCache>
                <c:ptCount val="1"/>
                <c:pt idx="0">
                  <c:v>Hutch_Home_Silva</c:v>
                </c:pt>
              </c:strCache>
            </c:strRef>
          </c:tx>
          <c:spPr>
            <a:solidFill>
              <a:srgbClr val="9BBB59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'📉 Charts_Dashboard'!$C$6</c:f>
              <c:numCache>
                <c:formatCode>General</c:formatCode>
                <c:ptCount val="1"/>
                <c:pt idx="0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64-475E-A09F-F1C3B3542E27}"/>
            </c:ext>
          </c:extLst>
        </c:ser>
        <c:ser>
          <c:idx val="3"/>
          <c:order val="3"/>
          <c:tx>
            <c:strRef>
              <c:f>'📉 Charts_Dashboard'!$A$7</c:f>
              <c:strCache>
                <c:ptCount val="1"/>
                <c:pt idx="0">
                  <c:v>Mobitel_Home_Fernando</c:v>
                </c:pt>
              </c:strCache>
            </c:strRef>
          </c:tx>
          <c:spPr>
            <a:solidFill>
              <a:srgbClr val="8064A2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'📉 Charts_Dashboard'!$C$7</c:f>
              <c:numCache>
                <c:formatCode>General</c:formatCode>
                <c:ptCount val="1"/>
                <c:pt idx="0">
                  <c:v>27.5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64-475E-A09F-F1C3B3542E27}"/>
            </c:ext>
          </c:extLst>
        </c:ser>
        <c:ser>
          <c:idx val="4"/>
          <c:order val="4"/>
          <c:tx>
            <c:strRef>
              <c:f>'📉 Charts_Dashboard'!$A$8</c:f>
              <c:strCache>
                <c:ptCount val="1"/>
                <c:pt idx="0">
                  <c:v>Dialog_4G_Karunaratne</c:v>
                </c:pt>
              </c:strCache>
            </c:strRef>
          </c:tx>
          <c:spPr>
            <a:solidFill>
              <a:srgbClr val="4BACC6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'📉 Charts_Dashboard'!$C$8</c:f>
              <c:numCache>
                <c:formatCode>General</c:formatCode>
                <c:ptCount val="1"/>
                <c:pt idx="0">
                  <c:v>82.5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64-475E-A09F-F1C3B3542E27}"/>
            </c:ext>
          </c:extLst>
        </c:ser>
        <c:ser>
          <c:idx val="5"/>
          <c:order val="5"/>
          <c:tx>
            <c:strRef>
              <c:f>'📉 Charts_Dashboard'!$A$9</c:f>
              <c:strCache>
                <c:ptCount val="1"/>
                <c:pt idx="0">
                  <c:v>SLT_VDSL_Dissanayake</c:v>
                </c:pt>
              </c:strCache>
            </c:strRef>
          </c:tx>
          <c:spPr>
            <a:solidFill>
              <a:srgbClr val="F79646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'📉 Charts_Dashboard'!$C$9</c:f>
              <c:numCache>
                <c:formatCode>General</c:formatCode>
                <c:ptCount val="1"/>
                <c:pt idx="0">
                  <c:v>57.5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64-475E-A09F-F1C3B3542E27}"/>
            </c:ext>
          </c:extLst>
        </c:ser>
        <c:ser>
          <c:idx val="6"/>
          <c:order val="6"/>
          <c:tx>
            <c:strRef>
              <c:f>'📉 Charts_Dashboard'!$A$10</c:f>
              <c:strCache>
                <c:ptCount val="1"/>
                <c:pt idx="0">
                  <c:v>Hutch_4G_Rajapaksa</c:v>
                </c:pt>
              </c:strCache>
            </c:strRef>
          </c:tx>
          <c:spPr>
            <a:solidFill>
              <a:srgbClr val="2C4D75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'📉 Charts_Dashboard'!$C$10</c:f>
              <c:numCache>
                <c:formatCode>General</c:formatCode>
                <c:ptCount val="1"/>
                <c:pt idx="0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64-475E-A09F-F1C3B3542E27}"/>
            </c:ext>
          </c:extLst>
        </c:ser>
        <c:ser>
          <c:idx val="7"/>
          <c:order val="7"/>
          <c:tx>
            <c:strRef>
              <c:f>'📉 Charts_Dashboard'!$A$11</c:f>
              <c:strCache>
                <c:ptCount val="1"/>
                <c:pt idx="0">
                  <c:v>Lanka_Bell_Wijesinghe</c:v>
                </c:pt>
              </c:strCache>
            </c:strRef>
          </c:tx>
          <c:spPr>
            <a:solidFill>
              <a:srgbClr val="772C2A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'📉 Charts_Dashboard'!$C$11</c:f>
              <c:numCache>
                <c:formatCode>General</c:formatCode>
                <c:ptCount val="1"/>
                <c:pt idx="0">
                  <c:v>72.5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964-475E-A09F-F1C3B3542E27}"/>
            </c:ext>
          </c:extLst>
        </c:ser>
        <c:ser>
          <c:idx val="8"/>
          <c:order val="8"/>
          <c:tx>
            <c:strRef>
              <c:f>'📉 Charts_Dashboard'!$A$12</c:f>
              <c:strCache>
                <c:ptCount val="1"/>
                <c:pt idx="0">
                  <c:v>Dialog_Fiber_Bandara</c:v>
                </c:pt>
              </c:strCache>
            </c:strRef>
          </c:tx>
          <c:spPr>
            <a:solidFill>
              <a:srgbClr val="5F7530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'📉 Charts_Dashboard'!$C$12</c:f>
              <c:numCache>
                <c:formatCode>General</c:formatCode>
                <c:ptCount val="1"/>
                <c:pt idx="0">
                  <c:v>92.5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964-475E-A09F-F1C3B3542E27}"/>
            </c:ext>
          </c:extLst>
        </c:ser>
        <c:ser>
          <c:idx val="9"/>
          <c:order val="9"/>
          <c:tx>
            <c:strRef>
              <c:f>'📉 Charts_Dashboard'!$A$13</c:f>
              <c:strCache>
                <c:ptCount val="1"/>
                <c:pt idx="0">
                  <c:v>SLT_Home_Gunasekara</c:v>
                </c:pt>
              </c:strCache>
            </c:strRef>
          </c:tx>
          <c:spPr>
            <a:solidFill>
              <a:srgbClr val="4D3B62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'📉 Charts_Dashboard'!$C$13</c:f>
              <c:numCache>
                <c:formatCode>General</c:formatCode>
                <c:ptCount val="1"/>
                <c:pt idx="0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964-475E-A09F-F1C3B3542E27}"/>
            </c:ext>
          </c:extLst>
        </c:ser>
        <c:ser>
          <c:idx val="10"/>
          <c:order val="10"/>
          <c:tx>
            <c:strRef>
              <c:f>'📉 Charts_Dashboard'!$A$14</c:f>
              <c:strCache>
                <c:ptCount val="1"/>
                <c:pt idx="0">
                  <c:v>Mobitel_4G_Weerasinghe</c:v>
                </c:pt>
              </c:strCache>
            </c:strRef>
          </c:tx>
          <c:spPr>
            <a:solidFill>
              <a:srgbClr val="276A7C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'📉 Charts_Dashboard'!$C$14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964-475E-A09F-F1C3B3542E27}"/>
            </c:ext>
          </c:extLst>
        </c:ser>
        <c:ser>
          <c:idx val="11"/>
          <c:order val="11"/>
          <c:tx>
            <c:strRef>
              <c:f>'📉 Charts_Dashboard'!$A$15</c:f>
              <c:strCache>
                <c:ptCount val="1"/>
                <c:pt idx="0">
                  <c:v>Dialog_Home_Liyanage</c:v>
                </c:pt>
              </c:strCache>
            </c:strRef>
          </c:tx>
          <c:spPr>
            <a:solidFill>
              <a:srgbClr val="B65708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'📉 Charts_Dashboard'!$C$15</c:f>
              <c:numCache>
                <c:formatCode>General</c:formatCode>
                <c:ptCount val="1"/>
                <c:pt idx="0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964-475E-A09F-F1C3B3542E27}"/>
            </c:ext>
          </c:extLst>
        </c:ser>
        <c:ser>
          <c:idx val="12"/>
          <c:order val="12"/>
          <c:tx>
            <c:strRef>
              <c:f>'📉 Charts_Dashboard'!$A$16</c:f>
              <c:strCache>
                <c:ptCount val="1"/>
                <c:pt idx="0">
                  <c:v>Barista_Colombo3_FreeWiFi</c:v>
                </c:pt>
              </c:strCache>
            </c:strRef>
          </c:tx>
          <c:spPr>
            <a:solidFill>
              <a:srgbClr val="729ACA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'📉 Charts_Dashboard'!$C$16</c:f>
              <c:numCache>
                <c:formatCode>General</c:formatCode>
                <c:ptCount val="1"/>
                <c:pt idx="0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64-475E-A09F-F1C3B3542E27}"/>
            </c:ext>
          </c:extLst>
        </c:ser>
        <c:ser>
          <c:idx val="13"/>
          <c:order val="13"/>
          <c:tx>
            <c:strRef>
              <c:f>'📉 Charts_Dashboard'!$A$17</c:f>
              <c:strCache>
                <c:ptCount val="1"/>
                <c:pt idx="0">
                  <c:v>CoffeeBean_GuestFree</c:v>
                </c:pt>
              </c:strCache>
            </c:strRef>
          </c:tx>
          <c:spPr>
            <a:solidFill>
              <a:srgbClr val="CD7371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'📉 Charts_Dashboard'!$C$17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964-475E-A09F-F1C3B3542E27}"/>
            </c:ext>
          </c:extLst>
        </c:ser>
        <c:ser>
          <c:idx val="14"/>
          <c:order val="14"/>
          <c:tx>
            <c:strRef>
              <c:f>'📉 Charts_Dashboard'!$A$18</c:f>
              <c:strCache>
                <c:ptCount val="1"/>
                <c:pt idx="0">
                  <c:v>McDonalds_Colpetty_Free</c:v>
                </c:pt>
              </c:strCache>
            </c:strRef>
          </c:tx>
          <c:spPr>
            <a:solidFill>
              <a:srgbClr val="AFC97A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'📉 Charts_Dashboard'!$C$18</c:f>
              <c:numCache>
                <c:formatCode>General</c:formatCode>
                <c:ptCount val="1"/>
                <c:pt idx="0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964-475E-A09F-F1C3B3542E27}"/>
            </c:ext>
          </c:extLst>
        </c:ser>
        <c:ser>
          <c:idx val="15"/>
          <c:order val="15"/>
          <c:tx>
            <c:strRef>
              <c:f>'📉 Charts_Dashboard'!$A$19</c:f>
              <c:strCache>
                <c:ptCount val="1"/>
                <c:pt idx="0">
                  <c:v>KFC_MajesticCity_Free</c:v>
                </c:pt>
              </c:strCache>
            </c:strRef>
          </c:tx>
          <c:spPr>
            <a:solidFill>
              <a:srgbClr val="9983B5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'📉 Charts_Dashboard'!$C$19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964-475E-A09F-F1C3B3542E27}"/>
            </c:ext>
          </c:extLst>
        </c:ser>
        <c:ser>
          <c:idx val="16"/>
          <c:order val="16"/>
          <c:tx>
            <c:strRef>
              <c:f>'📉 Charts_Dashboard'!$A$20</c:f>
              <c:strCache>
                <c:ptCount val="1"/>
                <c:pt idx="0">
                  <c:v>OneSixOne_Mall_Public</c:v>
                </c:pt>
              </c:strCache>
            </c:strRef>
          </c:tx>
          <c:spPr>
            <a:solidFill>
              <a:srgbClr val="6FBDD1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'📉 Charts_Dashboard'!$C$20</c:f>
              <c:numCache>
                <c:formatCode>General</c:formatCode>
                <c:ptCount val="1"/>
                <c:pt idx="0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964-475E-A09F-F1C3B3542E27}"/>
            </c:ext>
          </c:extLst>
        </c:ser>
        <c:ser>
          <c:idx val="17"/>
          <c:order val="17"/>
          <c:tx>
            <c:strRef>
              <c:f>'📉 Charts_Dashboard'!$A$21</c:f>
              <c:strCache>
                <c:ptCount val="1"/>
                <c:pt idx="0">
                  <c:v>Keells_Super_FreeWiFi</c:v>
                </c:pt>
              </c:strCache>
            </c:strRef>
          </c:tx>
          <c:spPr>
            <a:solidFill>
              <a:srgbClr val="F9AB6B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'📉 Charts_Dashboard'!$C$21</c:f>
              <c:numCache>
                <c:formatCode>General</c:formatCode>
                <c:ptCount val="1"/>
                <c:pt idx="0">
                  <c:v>42.5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964-475E-A09F-F1C3B3542E27}"/>
            </c:ext>
          </c:extLst>
        </c:ser>
        <c:ser>
          <c:idx val="18"/>
          <c:order val="18"/>
          <c:tx>
            <c:strRef>
              <c:f>'📉 Charts_Dashboard'!$A$22</c:f>
              <c:strCache>
                <c:ptCount val="1"/>
                <c:pt idx="0">
                  <c:v>GalleFace_FreeHotspot</c:v>
                </c:pt>
              </c:strCache>
            </c:strRef>
          </c:tx>
          <c:spPr>
            <a:solidFill>
              <a:srgbClr val="3A679C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'📉 Charts_Dashboard'!$C$22</c:f>
              <c:numCache>
                <c:formatCode>General</c:formatCode>
                <c:ptCount val="1"/>
                <c:pt idx="0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964-475E-A09F-F1C3B3542E27}"/>
            </c:ext>
          </c:extLst>
        </c:ser>
        <c:ser>
          <c:idx val="19"/>
          <c:order val="19"/>
          <c:tx>
            <c:strRef>
              <c:f>'📉 Charts_Dashboard'!$A$23</c:f>
              <c:strCache>
                <c:ptCount val="1"/>
                <c:pt idx="0">
                  <c:v>Viharamahadevi_FreeNet</c:v>
                </c:pt>
              </c:strCache>
            </c:strRef>
          </c:tx>
          <c:spPr>
            <a:solidFill>
              <a:srgbClr val="9F3B38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'📉 Charts_Dashboard'!$C$23</c:f>
              <c:numCache>
                <c:formatCode>General</c:formatCode>
                <c:ptCount val="1"/>
                <c:pt idx="0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964-475E-A09F-F1C3B3542E27}"/>
            </c:ext>
          </c:extLst>
        </c:ser>
        <c:ser>
          <c:idx val="20"/>
          <c:order val="20"/>
          <c:tx>
            <c:strRef>
              <c:f>'📉 Charts_Dashboard'!$A$24</c:f>
              <c:strCache>
                <c:ptCount val="1"/>
                <c:pt idx="0">
                  <c:v>Cargills_FoodCity_WiFi</c:v>
                </c:pt>
              </c:strCache>
            </c:strRef>
          </c:tx>
          <c:spPr>
            <a:solidFill>
              <a:srgbClr val="7E9D40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'📉 Charts_Dashboard'!$C$24</c:f>
              <c:numCache>
                <c:formatCode>General</c:formatCode>
                <c:ptCount val="1"/>
                <c:pt idx="0">
                  <c:v>72.5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964-475E-A09F-F1C3B3542E27}"/>
            </c:ext>
          </c:extLst>
        </c:ser>
        <c:ser>
          <c:idx val="21"/>
          <c:order val="21"/>
          <c:tx>
            <c:strRef>
              <c:f>'📉 Charts_Dashboard'!$A$25</c:f>
              <c:strCache>
                <c:ptCount val="1"/>
                <c:pt idx="0">
                  <c:v>Arpico_Super_GuestWiFi</c:v>
                </c:pt>
              </c:strCache>
            </c:strRef>
          </c:tx>
          <c:spPr>
            <a:solidFill>
              <a:srgbClr val="664F83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'📉 Charts_Dashboard'!$C$25</c:f>
              <c:numCache>
                <c:formatCode>General</c:formatCode>
                <c:ptCount val="1"/>
                <c:pt idx="0">
                  <c:v>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964-475E-A09F-F1C3B3542E27}"/>
            </c:ext>
          </c:extLst>
        </c:ser>
        <c:ser>
          <c:idx val="22"/>
          <c:order val="22"/>
          <c:tx>
            <c:strRef>
              <c:f>'📉 Charts_Dashboard'!$A$26</c:f>
              <c:strCache>
                <c:ptCount val="1"/>
                <c:pt idx="0">
                  <c:v>LibertyPlaza_FreeWiFi</c:v>
                </c:pt>
              </c:strCache>
            </c:strRef>
          </c:tx>
          <c:spPr>
            <a:solidFill>
              <a:srgbClr val="358EA6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'📉 Charts_Dashboard'!$C$26</c:f>
              <c:numCache>
                <c:formatCode>General</c:formatCode>
                <c:ptCount val="1"/>
                <c:pt idx="0">
                  <c:v>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964-475E-A09F-F1C3B3542E27}"/>
            </c:ext>
          </c:extLst>
        </c:ser>
        <c:ser>
          <c:idx val="23"/>
          <c:order val="23"/>
          <c:tx>
            <c:strRef>
              <c:f>'📉 Charts_Dashboard'!$A$27</c:f>
              <c:strCache>
                <c:ptCount val="1"/>
                <c:pt idx="0">
                  <c:v>Colombo_Fort_PublicNet</c:v>
                </c:pt>
              </c:strCache>
            </c:strRef>
          </c:tx>
          <c:spPr>
            <a:solidFill>
              <a:srgbClr val="F3740B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'📉 Charts_Dashboard'!$C$27</c:f>
              <c:numCache>
                <c:formatCode>General</c:formatCode>
                <c:ptCount val="1"/>
                <c:pt idx="0">
                  <c:v>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964-475E-A09F-F1C3B3542E27}"/>
            </c:ext>
          </c:extLst>
        </c:ser>
        <c:ser>
          <c:idx val="24"/>
          <c:order val="24"/>
          <c:tx>
            <c:strRef>
              <c:f>'📉 Charts_Dashboard'!$A$28</c:f>
              <c:strCache>
                <c:ptCount val="1"/>
                <c:pt idx="0">
                  <c:v>PizzaHut_UnionPlace_Guest</c:v>
                </c:pt>
              </c:strCache>
            </c:strRef>
          </c:tx>
          <c:spPr>
            <a:solidFill>
              <a:srgbClr val="95B3D7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'📉 Charts_Dashboard'!$C$28</c:f>
              <c:numCache>
                <c:formatCode>General</c:formatCode>
                <c:ptCount val="1"/>
                <c:pt idx="0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64-475E-A09F-F1C3B3542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705576"/>
        <c:axId val="43175698"/>
      </c:barChart>
      <c:catAx>
        <c:axId val="347055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prstDash val="solid"/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3175698"/>
        <c:crosses val="autoZero"/>
        <c:auto val="1"/>
        <c:lblAlgn val="ctr"/>
        <c:lblOffset val="100"/>
        <c:noMultiLvlLbl val="0"/>
      </c:catAx>
      <c:valAx>
        <c:axId val="4317569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  <a:prstDash val="solid"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34705576"/>
        <c:crosses val="autoZero"/>
        <c:crossBetween val="between"/>
      </c:valAx>
    </c:plotArea>
    <c:legend>
      <c:legendPos val="b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Security Score per Wi-Fi Network (All 25 APs)</a:t>
            </a:r>
          </a:p>
        </c:rich>
      </c:tx>
      <c:overlay val="0"/>
      <c:spPr>
        <a:noFill/>
        <a:ln w="0">
          <a:noFill/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4270003792188102E-2"/>
          <c:y val="5.1743666169895702E-2"/>
          <c:w val="0.78221463784603695"/>
          <c:h val="0.90193740685543999"/>
        </c:manualLayout>
      </c:layout>
      <c:barChart>
        <c:barDir val="bar"/>
        <c:grouping val="clustered"/>
        <c:varyColors val="1"/>
        <c:ser>
          <c:idx val="0"/>
          <c:order val="0"/>
          <c:tx>
            <c:v>Security Score /100</c:v>
          </c:tx>
          <c:invertIfNegative val="0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9F9-425E-98E6-5EFCCA582D4E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9F9-425E-98E6-5EFCCA582D4E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9F9-425E-98E6-5EFCCA582D4E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9F9-425E-98E6-5EFCCA582D4E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C9F9-425E-98E6-5EFCCA582D4E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C9F9-425E-98E6-5EFCCA582D4E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C9F9-425E-98E6-5EFCCA582D4E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C9F9-425E-98E6-5EFCCA582D4E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C9F9-425E-98E6-5EFCCA582D4E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C9F9-425E-98E6-5EFCCA582D4E}"/>
              </c:ext>
            </c:extLst>
          </c:dPt>
          <c:dPt>
            <c:idx val="10"/>
            <c:invertIfNegative val="1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C9F9-425E-98E6-5EFCCA582D4E}"/>
              </c:ext>
            </c:extLst>
          </c:dPt>
          <c:dPt>
            <c:idx val="11"/>
            <c:invertIfNegative val="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C9F9-425E-98E6-5EFCCA582D4E}"/>
              </c:ext>
            </c:extLst>
          </c:dPt>
          <c:dPt>
            <c:idx val="12"/>
            <c:invertIfNegative val="1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C9F9-425E-98E6-5EFCCA582D4E}"/>
              </c:ext>
            </c:extLst>
          </c:dPt>
          <c:dPt>
            <c:idx val="13"/>
            <c:invertIfNegative val="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C9F9-425E-98E6-5EFCCA582D4E}"/>
              </c:ext>
            </c:extLst>
          </c:dPt>
          <c:dPt>
            <c:idx val="14"/>
            <c:invertIfNegative val="1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C9F9-425E-98E6-5EFCCA582D4E}"/>
              </c:ext>
            </c:extLst>
          </c:dPt>
          <c:dPt>
            <c:idx val="15"/>
            <c:invertIfNegative val="1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C9F9-425E-98E6-5EFCCA582D4E}"/>
              </c:ext>
            </c:extLst>
          </c:dPt>
          <c:dPt>
            <c:idx val="16"/>
            <c:invertIfNegative val="1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1-C9F9-425E-98E6-5EFCCA582D4E}"/>
              </c:ext>
            </c:extLst>
          </c:dPt>
          <c:dPt>
            <c:idx val="17"/>
            <c:invertIfNegative val="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3-C9F9-425E-98E6-5EFCCA582D4E}"/>
              </c:ext>
            </c:extLst>
          </c:dPt>
          <c:dPt>
            <c:idx val="18"/>
            <c:invertIfNegative val="1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5-C9F9-425E-98E6-5EFCCA582D4E}"/>
              </c:ext>
            </c:extLst>
          </c:dPt>
          <c:dPt>
            <c:idx val="19"/>
            <c:invertIfNegative val="1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7-C9F9-425E-98E6-5EFCCA582D4E}"/>
              </c:ext>
            </c:extLst>
          </c:dPt>
          <c:dPt>
            <c:idx val="20"/>
            <c:invertIfNegative val="1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9-C9F9-425E-98E6-5EFCCA582D4E}"/>
              </c:ext>
            </c:extLst>
          </c:dPt>
          <c:dPt>
            <c:idx val="21"/>
            <c:invertIfNegative val="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B-C9F9-425E-98E6-5EFCCA582D4E}"/>
              </c:ext>
            </c:extLst>
          </c:dPt>
          <c:dPt>
            <c:idx val="22"/>
            <c:invertIfNegative val="1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D-C9F9-425E-98E6-5EFCCA582D4E}"/>
              </c:ext>
            </c:extLst>
          </c:dPt>
          <c:dPt>
            <c:idx val="23"/>
            <c:invertIfNegative val="1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F-C9F9-425E-98E6-5EFCCA582D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'📊 Security_Charts'!$A$5:$A$28</c:f>
              <c:strCache>
                <c:ptCount val="24"/>
                <c:pt idx="0">
                  <c:v>SLT_Fiber_Jayawardena</c:v>
                </c:pt>
                <c:pt idx="1">
                  <c:v>Hutch_Home_Silva</c:v>
                </c:pt>
                <c:pt idx="2">
                  <c:v>Mobitel_Home_Fernando</c:v>
                </c:pt>
                <c:pt idx="3">
                  <c:v>Dialog_4G_Karunaratne</c:v>
                </c:pt>
                <c:pt idx="4">
                  <c:v>SLT_VDSL_Dissanayake</c:v>
                </c:pt>
                <c:pt idx="5">
                  <c:v>Hutch_4G_Rajapaksa</c:v>
                </c:pt>
                <c:pt idx="6">
                  <c:v>Lanka_Bell_Wijesinghe</c:v>
                </c:pt>
                <c:pt idx="7">
                  <c:v>Dialog_Fiber_Bandara</c:v>
                </c:pt>
                <c:pt idx="8">
                  <c:v>SLT_Home_Gunasekara</c:v>
                </c:pt>
                <c:pt idx="9">
                  <c:v>Mobitel_4G_Weerasinghe</c:v>
                </c:pt>
                <c:pt idx="10">
                  <c:v>Dialog_Home_Liyanage</c:v>
                </c:pt>
                <c:pt idx="11">
                  <c:v>Barista_Colombo3_FreeWiFi</c:v>
                </c:pt>
                <c:pt idx="12">
                  <c:v>CoffeeBean_GuestFree</c:v>
                </c:pt>
                <c:pt idx="13">
                  <c:v>McDonalds_Colpetty_Free</c:v>
                </c:pt>
                <c:pt idx="14">
                  <c:v>KFC_MajesticCity_Free</c:v>
                </c:pt>
                <c:pt idx="15">
                  <c:v>OneSixOne_Mall_Public</c:v>
                </c:pt>
                <c:pt idx="16">
                  <c:v>Keells_Super_FreeWiFi</c:v>
                </c:pt>
                <c:pt idx="17">
                  <c:v>GalleFace_FreeHotspot</c:v>
                </c:pt>
                <c:pt idx="18">
                  <c:v>Viharamahadevi_FreeNet</c:v>
                </c:pt>
                <c:pt idx="19">
                  <c:v>Cargills_FoodCity_WiFi</c:v>
                </c:pt>
                <c:pt idx="20">
                  <c:v>Arpico_Super_GuestWiFi</c:v>
                </c:pt>
                <c:pt idx="21">
                  <c:v>LibertyPlaza_FreeWiFi</c:v>
                </c:pt>
                <c:pt idx="22">
                  <c:v>Colombo_Fort_PublicNet</c:v>
                </c:pt>
                <c:pt idx="23">
                  <c:v>PizzaHut_UnionPlace_Guest</c:v>
                </c:pt>
              </c:strCache>
            </c:strRef>
          </c:cat>
          <c:val>
            <c:numRef>
              <c:f>'📊 Security_Charts'!$C$5:$C$28</c:f>
              <c:numCache>
                <c:formatCode>General</c:formatCode>
                <c:ptCount val="24"/>
                <c:pt idx="0">
                  <c:v>20</c:v>
                </c:pt>
                <c:pt idx="1">
                  <c:v>65</c:v>
                </c:pt>
                <c:pt idx="2">
                  <c:v>27.5</c:v>
                </c:pt>
                <c:pt idx="3">
                  <c:v>82.5</c:v>
                </c:pt>
                <c:pt idx="4">
                  <c:v>57.5</c:v>
                </c:pt>
                <c:pt idx="5">
                  <c:v>60</c:v>
                </c:pt>
                <c:pt idx="6">
                  <c:v>72.5</c:v>
                </c:pt>
                <c:pt idx="7">
                  <c:v>92.5</c:v>
                </c:pt>
                <c:pt idx="8">
                  <c:v>65</c:v>
                </c:pt>
                <c:pt idx="9">
                  <c:v>5</c:v>
                </c:pt>
                <c:pt idx="10">
                  <c:v>70</c:v>
                </c:pt>
                <c:pt idx="11">
                  <c:v>70</c:v>
                </c:pt>
                <c:pt idx="12">
                  <c:v>15</c:v>
                </c:pt>
                <c:pt idx="13">
                  <c:v>70</c:v>
                </c:pt>
                <c:pt idx="14">
                  <c:v>25</c:v>
                </c:pt>
                <c:pt idx="15">
                  <c:v>70</c:v>
                </c:pt>
                <c:pt idx="16">
                  <c:v>42.5</c:v>
                </c:pt>
                <c:pt idx="17">
                  <c:v>70</c:v>
                </c:pt>
                <c:pt idx="18">
                  <c:v>70</c:v>
                </c:pt>
                <c:pt idx="19">
                  <c:v>72.5</c:v>
                </c:pt>
                <c:pt idx="20">
                  <c:v>22.5</c:v>
                </c:pt>
                <c:pt idx="21">
                  <c:v>22.5</c:v>
                </c:pt>
                <c:pt idx="22">
                  <c:v>75</c:v>
                </c:pt>
                <c:pt idx="23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C9F9-425E-98E6-5EFCCA582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131916"/>
        <c:axId val="97293392"/>
      </c:barChart>
      <c:catAx>
        <c:axId val="67131916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Network SSID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1" i="0" u="none" strike="noStrike" kern="1200" spc="-1" baseline="0">
                  <a:solidFill>
                    <a:srgbClr val="000000"/>
                  </a:solidFill>
                  <a:latin typeface="Calibri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97293392"/>
        <c:crosses val="autoZero"/>
        <c:auto val="1"/>
        <c:lblAlgn val="ctr"/>
        <c:lblOffset val="100"/>
        <c:noMultiLvlLbl val="0"/>
      </c:catAx>
      <c:valAx>
        <c:axId val="97293392"/>
        <c:scaling>
          <c:orientation val="minMax"/>
        </c:scaling>
        <c:delete val="1"/>
        <c:axPos val="b"/>
        <c:majorGridlines>
          <c:spPr>
            <a:ln w="0" cap="flat" cmpd="sng" algn="ctr">
              <a:solidFill>
                <a:srgbClr val="B3B3B3"/>
              </a:solidFill>
              <a:prstDash val="solid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Security Score /100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spc="-1" baseline="0">
                  <a:solidFill>
                    <a:srgbClr val="000000"/>
                  </a:solidFill>
                  <a:latin typeface="Calibri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67131916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 w="0">
          <a:noFill/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Attack Success Count per Method (25 APs)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4.31111111111111E-2"/>
          <c:y val="8.69346045313827E-2"/>
          <c:w val="0.81048930843897049"/>
          <c:h val="0.868723456019459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'📊 Security_Charts'!$G$4</c:f>
              <c:strCache>
                <c:ptCount val="1"/>
                <c:pt idx="0">
                  <c:v>WPS BF</c:v>
                </c:pt>
              </c:strCache>
            </c:strRef>
          </c:tx>
          <c:spPr>
            <a:solidFill>
              <a:srgbClr val="E74C3C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'📊 Security_Charts'!$F$5</c:f>
              <c:strCache>
                <c:ptCount val="1"/>
                <c:pt idx="0">
                  <c:v>PASS (Vuln)</c:v>
                </c:pt>
              </c:strCache>
            </c:strRef>
          </c:cat>
          <c:val>
            <c:numRef>
              <c:f>'📊 Security_Charts'!$G$5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1D-4690-A805-6BD437B74415}"/>
            </c:ext>
          </c:extLst>
        </c:ser>
        <c:ser>
          <c:idx val="1"/>
          <c:order val="1"/>
          <c:tx>
            <c:strRef>
              <c:f>'📊 Security_Charts'!$H$4</c:f>
              <c:strCache>
                <c:ptCount val="1"/>
                <c:pt idx="0">
                  <c:v>Handshake</c:v>
                </c:pt>
              </c:strCache>
            </c:strRef>
          </c:tx>
          <c:spPr>
            <a:solidFill>
              <a:srgbClr val="C0504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'📊 Security_Charts'!$F$5</c:f>
              <c:strCache>
                <c:ptCount val="1"/>
                <c:pt idx="0">
                  <c:v>PASS (Vuln)</c:v>
                </c:pt>
              </c:strCache>
            </c:strRef>
          </c:cat>
          <c:val>
            <c:numRef>
              <c:f>'📊 Security_Charts'!$H$5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1D-4690-A805-6BD437B74415}"/>
            </c:ext>
          </c:extLst>
        </c:ser>
        <c:ser>
          <c:idx val="2"/>
          <c:order val="2"/>
          <c:tx>
            <c:strRef>
              <c:f>'📊 Security_Charts'!$I$4</c:f>
              <c:strCache>
                <c:ptCount val="1"/>
                <c:pt idx="0">
                  <c:v>PMKID</c:v>
                </c:pt>
              </c:strCache>
            </c:strRef>
          </c:tx>
          <c:spPr>
            <a:solidFill>
              <a:srgbClr val="9BBB59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'📊 Security_Charts'!$F$5</c:f>
              <c:strCache>
                <c:ptCount val="1"/>
                <c:pt idx="0">
                  <c:v>PASS (Vuln)</c:v>
                </c:pt>
              </c:strCache>
            </c:strRef>
          </c:cat>
          <c:val>
            <c:numRef>
              <c:f>'📊 Security_Charts'!$I$5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1D-4690-A805-6BD437B74415}"/>
            </c:ext>
          </c:extLst>
        </c:ser>
        <c:ser>
          <c:idx val="3"/>
          <c:order val="3"/>
          <c:tx>
            <c:strRef>
              <c:f>'📊 Security_Charts'!$J$4</c:f>
              <c:strCache>
                <c:ptCount val="1"/>
                <c:pt idx="0">
                  <c:v>Evil Twin</c:v>
                </c:pt>
              </c:strCache>
            </c:strRef>
          </c:tx>
          <c:spPr>
            <a:solidFill>
              <a:srgbClr val="8064A2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'📊 Security_Charts'!$F$5</c:f>
              <c:strCache>
                <c:ptCount val="1"/>
                <c:pt idx="0">
                  <c:v>PASS (Vuln)</c:v>
                </c:pt>
              </c:strCache>
            </c:strRef>
          </c:cat>
          <c:val>
            <c:numRef>
              <c:f>'📊 Security_Charts'!$J$5</c:f>
              <c:numCache>
                <c:formatCode>General</c:formatCode>
                <c:ptCount val="1"/>
                <c:pt idx="0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1D-4690-A805-6BD437B74415}"/>
            </c:ext>
          </c:extLst>
        </c:ser>
        <c:ser>
          <c:idx val="4"/>
          <c:order val="4"/>
          <c:tx>
            <c:strRef>
              <c:f>'📊 Security_Charts'!$K$4</c:f>
              <c:strCache>
                <c:ptCount val="1"/>
                <c:pt idx="0">
                  <c:v>Beacon DoS</c:v>
                </c:pt>
              </c:strCache>
            </c:strRef>
          </c:tx>
          <c:spPr>
            <a:solidFill>
              <a:srgbClr val="4BACC6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'📊 Security_Charts'!$F$5</c:f>
              <c:strCache>
                <c:ptCount val="1"/>
                <c:pt idx="0">
                  <c:v>PASS (Vuln)</c:v>
                </c:pt>
              </c:strCache>
            </c:strRef>
          </c:cat>
          <c:val>
            <c:numRef>
              <c:f>'📊 Security_Charts'!$K$5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1D-4690-A805-6BD437B74415}"/>
            </c:ext>
          </c:extLst>
        </c:ser>
        <c:ser>
          <c:idx val="5"/>
          <c:order val="5"/>
          <c:tx>
            <c:strRef>
              <c:f>'📊 Security_Charts'!$L$4</c:f>
              <c:strCache>
                <c:ptCount val="1"/>
                <c:pt idx="0">
                  <c:v>Pkt Inject</c:v>
                </c:pt>
              </c:strCache>
            </c:strRef>
          </c:tx>
          <c:spPr>
            <a:solidFill>
              <a:srgbClr val="F79646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'📊 Security_Charts'!$F$5</c:f>
              <c:strCache>
                <c:ptCount val="1"/>
                <c:pt idx="0">
                  <c:v>PASS (Vuln)</c:v>
                </c:pt>
              </c:strCache>
            </c:strRef>
          </c:cat>
          <c:val>
            <c:numRef>
              <c:f>'📊 Security_Charts'!$L$5</c:f>
              <c:numCache>
                <c:formatCode>General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1D-4690-A805-6BD437B74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442510"/>
        <c:axId val="19418375"/>
      </c:barChart>
      <c:catAx>
        <c:axId val="52442510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Attack Method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19418375"/>
        <c:crosses val="autoZero"/>
        <c:auto val="1"/>
        <c:lblAlgn val="ctr"/>
        <c:lblOffset val="100"/>
        <c:noMultiLvlLbl val="0"/>
      </c:catAx>
      <c:valAx>
        <c:axId val="19418375"/>
        <c:scaling>
          <c:orientation val="minMax"/>
        </c:scaling>
        <c:delete val="1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Number of Vulnerable Networks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524425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451898148148198"/>
          <c:y val="2.3018750000000001E-2"/>
          <c:w val="0.12784212962963001"/>
          <c:h val="0.31896249999999998"/>
        </c:manualLayout>
      </c:layout>
      <c:overlay val="1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Security Rating Distribution (25 APs)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4000000000000005E-2"/>
          <c:y val="6.4666666666666706E-2"/>
          <c:w val="0.80164285714285699"/>
          <c:h val="0.93525000000000003"/>
        </c:manualLayout>
      </c:layout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  <a:prstDash val="solid"/>
            </a:ln>
          </c:spPr>
          <c:dPt>
            <c:idx val="0"/>
            <c:bubble3D val="0"/>
            <c:spPr>
              <a:solidFill>
                <a:srgbClr val="27AE60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2EE-46C5-8B5F-2203397F91C7}"/>
              </c:ext>
            </c:extLst>
          </c:dPt>
          <c:dPt>
            <c:idx val="1"/>
            <c:bubble3D val="0"/>
            <c:spPr>
              <a:solidFill>
                <a:srgbClr val="2E86C1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82EE-46C5-8B5F-2203397F91C7}"/>
              </c:ext>
            </c:extLst>
          </c:dPt>
          <c:dPt>
            <c:idx val="2"/>
            <c:bubble3D val="0"/>
            <c:spPr>
              <a:solidFill>
                <a:srgbClr val="E67E22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82EE-46C5-8B5F-2203397F91C7}"/>
              </c:ext>
            </c:extLst>
          </c:dPt>
          <c:dPt>
            <c:idx val="3"/>
            <c:bubble3D val="0"/>
            <c:spPr>
              <a:solidFill>
                <a:srgbClr val="E74C3C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82EE-46C5-8B5F-2203397F91C7}"/>
              </c:ext>
            </c:extLst>
          </c:dPt>
          <c:dPt>
            <c:idx val="4"/>
            <c:bubble3D val="0"/>
            <c:spPr>
              <a:solidFill>
                <a:srgbClr val="922B21"/>
              </a:solidFill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82EE-46C5-8B5F-2203397F91C7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82EE-46C5-8B5F-2203397F91C7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82EE-46C5-8B5F-2203397F91C7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82EE-46C5-8B5F-2203397F91C7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82EE-46C5-8B5F-2203397F91C7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82EE-46C5-8B5F-2203397F91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'📊 Security_Charts'!$O$5:$O$9</c:f>
              <c:strCache>
                <c:ptCount val="5"/>
                <c:pt idx="0">
                  <c:v>EXCELLENT</c:v>
                </c:pt>
                <c:pt idx="1">
                  <c:v>GOOD</c:v>
                </c:pt>
                <c:pt idx="2">
                  <c:v>MODERATE</c:v>
                </c:pt>
                <c:pt idx="3">
                  <c:v>WEAK</c:v>
                </c:pt>
                <c:pt idx="4">
                  <c:v>CRITICAL</c:v>
                </c:pt>
              </c:strCache>
            </c:strRef>
          </c:cat>
          <c:val>
            <c:numRef>
              <c:f>'📊 Security_Charts'!$P$5:$P$9</c:f>
              <c:numCache>
                <c:formatCode>General</c:formatCode>
                <c:ptCount val="5"/>
                <c:pt idx="0">
                  <c:v>0</c:v>
                </c:pt>
                <c:pt idx="1">
                  <c:v>14</c:v>
                </c:pt>
                <c:pt idx="2">
                  <c:v>3</c:v>
                </c:pt>
                <c:pt idx="3">
                  <c:v>2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2EE-46C5-8B5F-2203397F9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82823591269841301"/>
          <c:y val="2.02006944444444E-2"/>
          <c:w val="0.16168472222222199"/>
          <c:h val="0.26580208333333299"/>
        </c:manualLayout>
      </c:layout>
      <c:overlay val="1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800" b="1" i="0" u="none" strike="noStrike" kern="1200" spc="-1" baseline="0">
                <a:solidFill>
                  <a:srgbClr val="000000"/>
                </a:solidFill>
                <a:latin typeface="Calibri"/>
                <a:ea typeface="+mn-ea"/>
                <a:cs typeface="+mn-cs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Average Vulnerability % by Network Type</a:t>
            </a:r>
          </a:p>
        </c:rich>
      </c:tx>
      <c:overlay val="0"/>
      <c:spPr>
        <a:noFill/>
        <a:ln w="0">
          <a:noFill/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1555555555555599E-2"/>
          <c:y val="3.2333333333333297E-2"/>
          <c:w val="0.79677777777777803"/>
          <c:h val="0.89116666666666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'📊 Security_Charts'!$T$4</c:f>
              <c:strCache>
                <c:ptCount val="1"/>
                <c:pt idx="0">
                  <c:v>Avg Vuln %</c:v>
                </c:pt>
              </c:strCache>
            </c:strRef>
          </c:tx>
          <c:invertIfNegative val="0"/>
          <c:dPt>
            <c:idx val="0"/>
            <c:invertIfNegative val="1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E06-4EC3-A8D1-AF386FFEC2E9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E06-4EC3-A8D1-AF386FFEC2E9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AE06-4EC3-A8D1-AF386FFEC2E9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AE06-4EC3-A8D1-AF386FFEC2E9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AE06-4EC3-A8D1-AF386FFEC2E9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AE06-4EC3-A8D1-AF386FFEC2E9}"/>
              </c:ext>
            </c:extLst>
          </c:dPt>
          <c:dPt>
            <c:idx val="6"/>
            <c:invertIfNegative val="1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E06-4EC3-A8D1-AF386FFEC2E9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AE06-4EC3-A8D1-AF386FFEC2E9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AE06-4EC3-A8D1-AF386FFEC2E9}"/>
              </c:ext>
            </c:extLst>
          </c:dPt>
          <c:dPt>
            <c:idx val="9"/>
            <c:invertIfNegative val="1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AE06-4EC3-A8D1-AF386FFEC2E9}"/>
              </c:ext>
            </c:extLst>
          </c:dPt>
          <c:dPt>
            <c:idx val="10"/>
            <c:invertIfNegative val="1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5-AE06-4EC3-A8D1-AF386FFEC2E9}"/>
              </c:ext>
            </c:extLst>
          </c:dPt>
          <c:dPt>
            <c:idx val="11"/>
            <c:invertIfNegative val="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7-AE06-4EC3-A8D1-AF386FFEC2E9}"/>
              </c:ext>
            </c:extLst>
          </c:dPt>
          <c:dPt>
            <c:idx val="12"/>
            <c:invertIfNegative val="1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AE06-4EC3-A8D1-AF386FFEC2E9}"/>
              </c:ext>
            </c:extLst>
          </c:dPt>
          <c:dPt>
            <c:idx val="13"/>
            <c:invertIfNegative val="1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AE06-4EC3-A8D1-AF386FFEC2E9}"/>
              </c:ext>
            </c:extLst>
          </c:dPt>
          <c:dPt>
            <c:idx val="14"/>
            <c:invertIfNegative val="1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AE06-4EC3-A8D1-AF386FFEC2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'📊 Security_Charts'!$R$5:$R$19</c:f>
              <c:strCache>
                <c:ptCount val="15"/>
                <c:pt idx="0">
                  <c:v>Reference</c:v>
                </c:pt>
                <c:pt idx="1">
                  <c:v>Coffee Shop</c:v>
                </c:pt>
                <c:pt idx="2">
                  <c:v>Fast Food</c:v>
                </c:pt>
                <c:pt idx="3">
                  <c:v>Restaurant</c:v>
                </c:pt>
                <c:pt idx="4">
                  <c:v>Retail</c:v>
                </c:pt>
                <c:pt idx="5">
                  <c:v>Shopping Mall</c:v>
                </c:pt>
                <c:pt idx="6">
                  <c:v>Supermarket</c:v>
                </c:pt>
                <c:pt idx="7">
                  <c:v>Hotel</c:v>
                </c:pt>
                <c:pt idx="8">
                  <c:v>Airport</c:v>
                </c:pt>
                <c:pt idx="9">
                  <c:v>Transport Hub</c:v>
                </c:pt>
                <c:pt idx="10">
                  <c:v>Public Park</c:v>
                </c:pt>
                <c:pt idx="11">
                  <c:v>Hospital</c:v>
                </c:pt>
                <c:pt idx="12">
                  <c:v>University</c:v>
                </c:pt>
                <c:pt idx="13">
                  <c:v>Bank</c:v>
                </c:pt>
                <c:pt idx="14">
                  <c:v>Government</c:v>
                </c:pt>
              </c:strCache>
            </c:strRef>
          </c:cat>
          <c:val>
            <c:numRef>
              <c:f>'📊 Security_Charts'!$T$5:$T$19</c:f>
              <c:numCache>
                <c:formatCode>General</c:formatCode>
                <c:ptCount val="15"/>
                <c:pt idx="0">
                  <c:v>33.299999999999997</c:v>
                </c:pt>
                <c:pt idx="1">
                  <c:v>62.5</c:v>
                </c:pt>
                <c:pt idx="2">
                  <c:v>66.7</c:v>
                </c:pt>
                <c:pt idx="3">
                  <c:v>75</c:v>
                </c:pt>
                <c:pt idx="4">
                  <c:v>41.7</c:v>
                </c:pt>
                <c:pt idx="5">
                  <c:v>58.3</c:v>
                </c:pt>
                <c:pt idx="6">
                  <c:v>66.7</c:v>
                </c:pt>
                <c:pt idx="7">
                  <c:v>37.5</c:v>
                </c:pt>
                <c:pt idx="8">
                  <c:v>50</c:v>
                </c:pt>
                <c:pt idx="9">
                  <c:v>41.7</c:v>
                </c:pt>
                <c:pt idx="10">
                  <c:v>50</c:v>
                </c:pt>
                <c:pt idx="11">
                  <c:v>75</c:v>
                </c:pt>
                <c:pt idx="12">
                  <c:v>25</c:v>
                </c:pt>
                <c:pt idx="13">
                  <c:v>41.7</c:v>
                </c:pt>
                <c:pt idx="14">
                  <c:v>41.7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AE06-4EC3-A8D1-AF386FFEC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4844601"/>
        <c:axId val="40856912"/>
      </c:barChart>
      <c:catAx>
        <c:axId val="94844601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Network Type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1" i="0" u="none" strike="noStrike" kern="1200" spc="-1" baseline="0">
                  <a:solidFill>
                    <a:srgbClr val="000000"/>
                  </a:solidFill>
                  <a:latin typeface="Calibri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40856912"/>
        <c:crosses val="autoZero"/>
        <c:auto val="1"/>
        <c:lblAlgn val="ctr"/>
        <c:lblOffset val="100"/>
        <c:noMultiLvlLbl val="0"/>
      </c:catAx>
      <c:valAx>
        <c:axId val="40856912"/>
        <c:scaling>
          <c:orientation val="minMax"/>
        </c:scaling>
        <c:delete val="1"/>
        <c:axPos val="l"/>
        <c:majorGridlines>
          <c:spPr>
            <a:ln w="0" cap="flat" cmpd="sng" algn="ctr">
              <a:solidFill>
                <a:srgbClr val="B3B3B3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1" i="0" u="none" strike="noStrike" kern="1200" spc="-1" baseline="0">
                    <a:solidFill>
                      <a:srgbClr val="000000"/>
                    </a:solidFill>
                    <a:latin typeface="Calibri"/>
                    <a:ea typeface="+mn-ea"/>
                    <a:cs typeface="+mn-cs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Avg Vulnerability %</a:t>
                </a:r>
              </a:p>
            </c:rich>
          </c:tx>
          <c:layout>
            <c:manualLayout>
              <c:xMode val="edge"/>
              <c:yMode val="edge"/>
              <c:x val="2.74444444444444E-2"/>
              <c:y val="0.22225"/>
            </c:manualLayout>
          </c:layout>
          <c:overlay val="0"/>
          <c:spPr>
            <a:noFill/>
            <a:ln w="0">
              <a:noFill/>
              <a:prstDash val="solid"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1" i="0" u="none" strike="noStrike" kern="1200" spc="-1" baseline="0">
                  <a:solidFill>
                    <a:srgbClr val="000000"/>
                  </a:solidFill>
                  <a:latin typeface="Calibri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94844601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 w="0">
          <a:noFill/>
          <a:prstDash val="solid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-1" baseline="0">
              <a:solidFill>
                <a:srgbClr val="000000"/>
              </a:solidFill>
              <a:latin typeface="Calibri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/>
          <a:lstStyle/>
          <a:p>
            <a:pPr>
              <a:defRPr lang="en-US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Attack Success Count by Encryption Type</a:t>
            </a:r>
          </a:p>
        </c:rich>
      </c:tx>
      <c:overlay val="0"/>
      <c:spPr>
        <a:noFill/>
        <a:ln w="0"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3.8800000000000001E-2"/>
          <c:y val="9.8609470475857136E-2"/>
          <c:w val="0.78204580143700586"/>
          <c:h val="0.8518717825319741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'📊 Security_Charts'!$C$37</c:f>
              <c:strCache>
                <c:ptCount val="1"/>
                <c:pt idx="0">
                  <c:v>WPS BF</c:v>
                </c:pt>
              </c:strCache>
            </c:strRef>
          </c:tx>
          <c:spPr>
            <a:solidFill>
              <a:srgbClr val="E74C3C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'📊 Security_Charts'!$A$38:$A$42</c:f>
              <c:strCache>
                <c:ptCount val="5"/>
                <c:pt idx="0">
                  <c:v>WPA3</c:v>
                </c:pt>
                <c:pt idx="1">
                  <c:v>WPA2+802.1X</c:v>
                </c:pt>
                <c:pt idx="2">
                  <c:v>WPA2</c:v>
                </c:pt>
                <c:pt idx="3">
                  <c:v>WPA</c:v>
                </c:pt>
                <c:pt idx="4">
                  <c:v>Open</c:v>
                </c:pt>
              </c:strCache>
            </c:strRef>
          </c:cat>
          <c:val>
            <c:numRef>
              <c:f>'📊 Security_Charts'!$C$38:$C$42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42-4204-9CF0-9C9483445A64}"/>
            </c:ext>
          </c:extLst>
        </c:ser>
        <c:ser>
          <c:idx val="1"/>
          <c:order val="1"/>
          <c:tx>
            <c:strRef>
              <c:f>'📊 Security_Charts'!$D$37</c:f>
              <c:strCache>
                <c:ptCount val="1"/>
                <c:pt idx="0">
                  <c:v>Handshake</c:v>
                </c:pt>
              </c:strCache>
            </c:strRef>
          </c:tx>
          <c:spPr>
            <a:solidFill>
              <a:srgbClr val="E67E22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'📊 Security_Charts'!$A$38:$A$42</c:f>
              <c:strCache>
                <c:ptCount val="5"/>
                <c:pt idx="0">
                  <c:v>WPA3</c:v>
                </c:pt>
                <c:pt idx="1">
                  <c:v>WPA2+802.1X</c:v>
                </c:pt>
                <c:pt idx="2">
                  <c:v>WPA2</c:v>
                </c:pt>
                <c:pt idx="3">
                  <c:v>WPA</c:v>
                </c:pt>
                <c:pt idx="4">
                  <c:v>Open</c:v>
                </c:pt>
              </c:strCache>
            </c:strRef>
          </c:cat>
          <c:val>
            <c:numRef>
              <c:f>'📊 Security_Charts'!$D$38:$D$42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42-4204-9CF0-9C9483445A64}"/>
            </c:ext>
          </c:extLst>
        </c:ser>
        <c:ser>
          <c:idx val="2"/>
          <c:order val="2"/>
          <c:tx>
            <c:strRef>
              <c:f>'📊 Security_Charts'!$E$37</c:f>
              <c:strCache>
                <c:ptCount val="1"/>
                <c:pt idx="0">
                  <c:v>PMKID</c:v>
                </c:pt>
              </c:strCache>
            </c:strRef>
          </c:tx>
          <c:spPr>
            <a:solidFill>
              <a:srgbClr val="F1C40F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'📊 Security_Charts'!$A$38:$A$42</c:f>
              <c:strCache>
                <c:ptCount val="5"/>
                <c:pt idx="0">
                  <c:v>WPA3</c:v>
                </c:pt>
                <c:pt idx="1">
                  <c:v>WPA2+802.1X</c:v>
                </c:pt>
                <c:pt idx="2">
                  <c:v>WPA2</c:v>
                </c:pt>
                <c:pt idx="3">
                  <c:v>WPA</c:v>
                </c:pt>
                <c:pt idx="4">
                  <c:v>Open</c:v>
                </c:pt>
              </c:strCache>
            </c:strRef>
          </c:cat>
          <c:val>
            <c:numRef>
              <c:f>'📊 Security_Charts'!$E$38:$E$42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42-4204-9CF0-9C9483445A64}"/>
            </c:ext>
          </c:extLst>
        </c:ser>
        <c:ser>
          <c:idx val="3"/>
          <c:order val="3"/>
          <c:tx>
            <c:strRef>
              <c:f>'📊 Security_Charts'!$F$37</c:f>
              <c:strCache>
                <c:ptCount val="1"/>
                <c:pt idx="0">
                  <c:v>Evil Twin</c:v>
                </c:pt>
              </c:strCache>
            </c:strRef>
          </c:tx>
          <c:spPr>
            <a:solidFill>
              <a:srgbClr val="2E86C1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'📊 Security_Charts'!$A$38:$A$42</c:f>
              <c:strCache>
                <c:ptCount val="5"/>
                <c:pt idx="0">
                  <c:v>WPA3</c:v>
                </c:pt>
                <c:pt idx="1">
                  <c:v>WPA2+802.1X</c:v>
                </c:pt>
                <c:pt idx="2">
                  <c:v>WPA2</c:v>
                </c:pt>
                <c:pt idx="3">
                  <c:v>WPA</c:v>
                </c:pt>
                <c:pt idx="4">
                  <c:v>Open</c:v>
                </c:pt>
              </c:strCache>
            </c:strRef>
          </c:cat>
          <c:val>
            <c:numRef>
              <c:f>'📊 Security_Charts'!$F$38:$F$42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10</c:v>
                </c:pt>
                <c:pt idx="3">
                  <c:v>0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42-4204-9CF0-9C9483445A64}"/>
            </c:ext>
          </c:extLst>
        </c:ser>
        <c:ser>
          <c:idx val="4"/>
          <c:order val="4"/>
          <c:tx>
            <c:strRef>
              <c:f>'📊 Security_Charts'!$G$37</c:f>
              <c:strCache>
                <c:ptCount val="1"/>
                <c:pt idx="0">
                  <c:v>Beacon DoS</c:v>
                </c:pt>
              </c:strCache>
            </c:strRef>
          </c:tx>
          <c:spPr>
            <a:solidFill>
              <a:srgbClr val="27AE60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'📊 Security_Charts'!$A$38:$A$42</c:f>
              <c:strCache>
                <c:ptCount val="5"/>
                <c:pt idx="0">
                  <c:v>WPA3</c:v>
                </c:pt>
                <c:pt idx="1">
                  <c:v>WPA2+802.1X</c:v>
                </c:pt>
                <c:pt idx="2">
                  <c:v>WPA2</c:v>
                </c:pt>
                <c:pt idx="3">
                  <c:v>WPA</c:v>
                </c:pt>
                <c:pt idx="4">
                  <c:v>Open</c:v>
                </c:pt>
              </c:strCache>
            </c:strRef>
          </c:cat>
          <c:val>
            <c:numRef>
              <c:f>'📊 Security_Charts'!$G$38:$G$42</c:f>
              <c:numCache>
                <c:formatCode>General</c:formatCode>
                <c:ptCount val="5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0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42-4204-9CF0-9C9483445A64}"/>
            </c:ext>
          </c:extLst>
        </c:ser>
        <c:ser>
          <c:idx val="5"/>
          <c:order val="5"/>
          <c:tx>
            <c:strRef>
              <c:f>'📊 Security_Charts'!$H$37</c:f>
              <c:strCache>
                <c:ptCount val="1"/>
                <c:pt idx="0">
                  <c:v>Pkt Inject</c:v>
                </c:pt>
              </c:strCache>
            </c:strRef>
          </c:tx>
          <c:spPr>
            <a:solidFill>
              <a:srgbClr val="8E44AD"/>
            </a:solidFill>
            <a:ln w="0">
              <a:noFill/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'📊 Security_Charts'!$A$38:$A$42</c:f>
              <c:strCache>
                <c:ptCount val="5"/>
                <c:pt idx="0">
                  <c:v>WPA3</c:v>
                </c:pt>
                <c:pt idx="1">
                  <c:v>WPA2+802.1X</c:v>
                </c:pt>
                <c:pt idx="2">
                  <c:v>WPA2</c:v>
                </c:pt>
                <c:pt idx="3">
                  <c:v>WPA</c:v>
                </c:pt>
                <c:pt idx="4">
                  <c:v>Open</c:v>
                </c:pt>
              </c:strCache>
            </c:strRef>
          </c:cat>
          <c:val>
            <c:numRef>
              <c:f>'📊 Security_Charts'!$H$38:$H$42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0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42-4204-9CF0-9C9483445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851312"/>
        <c:axId val="97486360"/>
      </c:barChart>
      <c:catAx>
        <c:axId val="10851312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Encryption Type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97486360"/>
        <c:crosses val="autoZero"/>
        <c:auto val="1"/>
        <c:lblAlgn val="ctr"/>
        <c:lblOffset val="100"/>
        <c:noMultiLvlLbl val="0"/>
      </c:catAx>
      <c:valAx>
        <c:axId val="97486360"/>
        <c:scaling>
          <c:orientation val="minMax"/>
        </c:scaling>
        <c:delete val="1"/>
        <c:axPos val="l"/>
        <c:majorGridlines>
          <c:spPr>
            <a:ln w="0">
              <a:solidFill>
                <a:srgbClr val="B3B3B3"/>
              </a:solidFill>
              <a:prstDash val="solid"/>
            </a:ln>
          </c:spPr>
        </c:majorGridlines>
        <c:title>
          <c:tx>
            <c:rich>
              <a:bodyPr rot="-5400000"/>
              <a:lstStyle/>
              <a:p>
                <a:pPr>
                  <a:defRPr lang="en-US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Attacks Succeeded</a:t>
                </a:r>
              </a:p>
            </c:rich>
          </c:tx>
          <c:overlay val="0"/>
          <c:spPr>
            <a:noFill/>
            <a:ln w="0"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crossAx val="10851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437263888888903"/>
          <c:y val="6.7115972222222195E-2"/>
          <c:w val="0.115057916666667"/>
          <c:h val="0.31896249999999998"/>
        </c:manualLayout>
      </c:layout>
      <c:overlay val="1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Security Score Distribution (Sorted Low→High)  |  All 25 APs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1"/>
          <c:order val="0"/>
          <c:tx>
            <c:strRef>
              <c:f>'📊 Security_Charts'!$B$44</c:f>
              <c:strCache>
                <c:ptCount val="1"/>
                <c:pt idx="0">
                  <c:v>Score (sorted)</c:v>
                </c:pt>
              </c:strCache>
            </c:strRef>
          </c:tx>
          <c:spPr>
            <a:ln w="20160">
              <a:solidFill>
                <a:srgbClr val="2980B9"/>
              </a:solidFill>
              <a:prstDash val="solid"/>
              <a:round/>
            </a:ln>
          </c:spPr>
          <c:marker>
            <c:symbol val="none"/>
          </c:marker>
          <c:dPt>
            <c:idx val="0"/>
            <c:bubble3D val="0"/>
            <c:spPr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6-55F5-428A-B9CF-C20D89072646}"/>
              </c:ext>
            </c:extLst>
          </c:dPt>
          <c:dPt>
            <c:idx val="1"/>
            <c:bubble3D val="0"/>
            <c:spPr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7-55F5-428A-B9CF-C20D89072646}"/>
              </c:ext>
            </c:extLst>
          </c:dPt>
          <c:dPt>
            <c:idx val="2"/>
            <c:bubble3D val="0"/>
            <c:spPr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8-55F5-428A-B9CF-C20D89072646}"/>
              </c:ext>
            </c:extLst>
          </c:dPt>
          <c:dPt>
            <c:idx val="3"/>
            <c:bubble3D val="0"/>
            <c:spPr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9-55F5-428A-B9CF-C20D89072646}"/>
              </c:ext>
            </c:extLst>
          </c:dPt>
          <c:dPt>
            <c:idx val="4"/>
            <c:bubble3D val="0"/>
            <c:spPr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A-55F5-428A-B9CF-C20D89072646}"/>
              </c:ext>
            </c:extLst>
          </c:dPt>
          <c:dPt>
            <c:idx val="5"/>
            <c:bubble3D val="0"/>
            <c:spPr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B-55F5-428A-B9CF-C20D89072646}"/>
              </c:ext>
            </c:extLst>
          </c:dPt>
          <c:dPt>
            <c:idx val="6"/>
            <c:bubble3D val="0"/>
            <c:spPr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C-55F5-428A-B9CF-C20D89072646}"/>
              </c:ext>
            </c:extLst>
          </c:dPt>
          <c:dPt>
            <c:idx val="7"/>
            <c:bubble3D val="0"/>
            <c:spPr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D-55F5-428A-B9CF-C20D89072646}"/>
              </c:ext>
            </c:extLst>
          </c:dPt>
          <c:dPt>
            <c:idx val="8"/>
            <c:bubble3D val="0"/>
            <c:spPr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E-55F5-428A-B9CF-C20D89072646}"/>
              </c:ext>
            </c:extLst>
          </c:dPt>
          <c:dPt>
            <c:idx val="9"/>
            <c:bubble3D val="0"/>
            <c:spPr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3F-55F5-428A-B9CF-C20D89072646}"/>
              </c:ext>
            </c:extLst>
          </c:dPt>
          <c:dPt>
            <c:idx val="10"/>
            <c:bubble3D val="0"/>
            <c:spPr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0-55F5-428A-B9CF-C20D89072646}"/>
              </c:ext>
            </c:extLst>
          </c:dPt>
          <c:dPt>
            <c:idx val="11"/>
            <c:bubble3D val="0"/>
            <c:spPr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1-55F5-428A-B9CF-C20D89072646}"/>
              </c:ext>
            </c:extLst>
          </c:dPt>
          <c:dPt>
            <c:idx val="12"/>
            <c:bubble3D val="0"/>
            <c:spPr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2-55F5-428A-B9CF-C20D89072646}"/>
              </c:ext>
            </c:extLst>
          </c:dPt>
          <c:dPt>
            <c:idx val="13"/>
            <c:bubble3D val="0"/>
            <c:spPr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3-55F5-428A-B9CF-C20D89072646}"/>
              </c:ext>
            </c:extLst>
          </c:dPt>
          <c:dPt>
            <c:idx val="14"/>
            <c:bubble3D val="0"/>
            <c:spPr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4-55F5-428A-B9CF-C20D89072646}"/>
              </c:ext>
            </c:extLst>
          </c:dPt>
          <c:dPt>
            <c:idx val="15"/>
            <c:bubble3D val="0"/>
            <c:spPr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5-55F5-428A-B9CF-C20D89072646}"/>
              </c:ext>
            </c:extLst>
          </c:dPt>
          <c:dPt>
            <c:idx val="16"/>
            <c:bubble3D val="0"/>
            <c:spPr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6-55F5-428A-B9CF-C20D89072646}"/>
              </c:ext>
            </c:extLst>
          </c:dPt>
          <c:dPt>
            <c:idx val="17"/>
            <c:bubble3D val="0"/>
            <c:spPr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7-55F5-428A-B9CF-C20D89072646}"/>
              </c:ext>
            </c:extLst>
          </c:dPt>
          <c:dPt>
            <c:idx val="18"/>
            <c:bubble3D val="0"/>
            <c:spPr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8-55F5-428A-B9CF-C20D89072646}"/>
              </c:ext>
            </c:extLst>
          </c:dPt>
          <c:dPt>
            <c:idx val="19"/>
            <c:bubble3D val="0"/>
            <c:spPr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9-55F5-428A-B9CF-C20D89072646}"/>
              </c:ext>
            </c:extLst>
          </c:dPt>
          <c:dPt>
            <c:idx val="20"/>
            <c:bubble3D val="0"/>
            <c:spPr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A-55F5-428A-B9CF-C20D89072646}"/>
              </c:ext>
            </c:extLst>
          </c:dPt>
          <c:dPt>
            <c:idx val="21"/>
            <c:bubble3D val="0"/>
            <c:spPr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B-55F5-428A-B9CF-C20D89072646}"/>
              </c:ext>
            </c:extLst>
          </c:dPt>
          <c:dPt>
            <c:idx val="22"/>
            <c:bubble3D val="0"/>
            <c:spPr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C-55F5-428A-B9CF-C20D89072646}"/>
              </c:ext>
            </c:extLst>
          </c:dPt>
          <c:dPt>
            <c:idx val="23"/>
            <c:bubble3D val="0"/>
            <c:spPr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D-55F5-428A-B9CF-C20D89072646}"/>
              </c:ext>
            </c:extLst>
          </c:dPt>
          <c:dPt>
            <c:idx val="24"/>
            <c:bubble3D val="0"/>
            <c:spPr>
              <a:ln w="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4E-55F5-428A-B9CF-C20D89072646}"/>
              </c:ext>
            </c:extLst>
          </c:dPt>
          <c:val>
            <c:numRef>
              <c:f>'📊 Security_Charts'!$B$45:$B$69</c:f>
              <c:numCache>
                <c:formatCode>General</c:formatCode>
                <c:ptCount val="25"/>
                <c:pt idx="0">
                  <c:v>12</c:v>
                </c:pt>
                <c:pt idx="1">
                  <c:v>15</c:v>
                </c:pt>
                <c:pt idx="2">
                  <c:v>22</c:v>
                </c:pt>
                <c:pt idx="3">
                  <c:v>22</c:v>
                </c:pt>
                <c:pt idx="4">
                  <c:v>25</c:v>
                </c:pt>
                <c:pt idx="5">
                  <c:v>25</c:v>
                </c:pt>
                <c:pt idx="6">
                  <c:v>40</c:v>
                </c:pt>
                <c:pt idx="7">
                  <c:v>42</c:v>
                </c:pt>
                <c:pt idx="8">
                  <c:v>55</c:v>
                </c:pt>
                <c:pt idx="9">
                  <c:v>58</c:v>
                </c:pt>
                <c:pt idx="10">
                  <c:v>60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72</c:v>
                </c:pt>
                <c:pt idx="21">
                  <c:v>75</c:v>
                </c:pt>
                <c:pt idx="22">
                  <c:v>82</c:v>
                </c:pt>
                <c:pt idx="23">
                  <c:v>82</c:v>
                </c:pt>
                <c:pt idx="24">
                  <c:v>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55F5-428A-B9CF-C20D89072646}"/>
            </c:ext>
          </c:extLst>
        </c:ser>
        <c:ser>
          <c:idx val="0"/>
          <c:order val="1"/>
          <c:tx>
            <c:strRef>
              <c:f>'[1]📊 Security_Charts'!$B$44</c:f>
              <c:strCache>
                <c:ptCount val="1"/>
                <c:pt idx="0">
                  <c:v>Score (sorted)</c:v>
                </c:pt>
              </c:strCache>
            </c:strRef>
          </c:tx>
          <c:spPr>
            <a:ln w="20000">
              <a:solidFill>
                <a:srgbClr val="2980B9"/>
              </a:solidFill>
              <a:prstDash val="solid"/>
            </a:ln>
          </c:spPr>
          <c:marker>
            <c:symbol val="none"/>
          </c:marker>
          <c:val>
            <c:numRef>
              <c:f>'[1]📊 Security_Charts'!$B$45:$B$69</c:f>
              <c:numCache>
                <c:formatCode>General</c:formatCode>
                <c:ptCount val="25"/>
                <c:pt idx="0">
                  <c:v>12</c:v>
                </c:pt>
                <c:pt idx="1">
                  <c:v>15</c:v>
                </c:pt>
                <c:pt idx="2">
                  <c:v>22</c:v>
                </c:pt>
                <c:pt idx="3">
                  <c:v>22</c:v>
                </c:pt>
                <c:pt idx="4">
                  <c:v>25</c:v>
                </c:pt>
                <c:pt idx="5">
                  <c:v>25</c:v>
                </c:pt>
                <c:pt idx="6">
                  <c:v>40</c:v>
                </c:pt>
                <c:pt idx="7">
                  <c:v>42</c:v>
                </c:pt>
                <c:pt idx="8">
                  <c:v>55</c:v>
                </c:pt>
                <c:pt idx="9">
                  <c:v>58</c:v>
                </c:pt>
                <c:pt idx="10">
                  <c:v>60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72</c:v>
                </c:pt>
                <c:pt idx="21">
                  <c:v>75</c:v>
                </c:pt>
                <c:pt idx="22">
                  <c:v>82</c:v>
                </c:pt>
                <c:pt idx="23">
                  <c:v>82</c:v>
                </c:pt>
                <c:pt idx="24">
                  <c:v>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34-55F5-428A-B9CF-C20D89072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Access Point Rank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Security Score /100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0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266760</xdr:colOff>
      <xdr:row>41</xdr:row>
      <xdr:rowOff>123840</xdr:rowOff>
    </xdr:from>
    <xdr:to>
      <xdr:col>3</xdr:col>
      <xdr:colOff>150840</xdr:colOff>
      <xdr:row>64</xdr:row>
      <xdr:rowOff>61920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561960</xdr:colOff>
      <xdr:row>37</xdr:row>
      <xdr:rowOff>19080</xdr:rowOff>
    </xdr:from>
    <xdr:to>
      <xdr:col>12</xdr:col>
      <xdr:colOff>15480</xdr:colOff>
      <xdr:row>59</xdr:row>
      <xdr:rowOff>147240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266760</xdr:colOff>
      <xdr:row>3</xdr:row>
      <xdr:rowOff>14400</xdr:rowOff>
    </xdr:from>
    <xdr:to>
      <xdr:col>19</xdr:col>
      <xdr:colOff>75960</xdr:colOff>
      <xdr:row>21</xdr:row>
      <xdr:rowOff>9360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447840</xdr:colOff>
      <xdr:row>45</xdr:row>
      <xdr:rowOff>-360</xdr:rowOff>
    </xdr:from>
    <xdr:to>
      <xdr:col>16</xdr:col>
      <xdr:colOff>325545</xdr:colOff>
      <xdr:row>76</xdr:row>
      <xdr:rowOff>132840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1581270</xdr:colOff>
      <xdr:row>77</xdr:row>
      <xdr:rowOff>133199</xdr:rowOff>
    </xdr:from>
    <xdr:to>
      <xdr:col>10</xdr:col>
      <xdr:colOff>571499</xdr:colOff>
      <xdr:row>101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22</xdr:col>
      <xdr:colOff>76320</xdr:colOff>
      <xdr:row>69</xdr:row>
      <xdr:rowOff>57240</xdr:rowOff>
    </xdr:from>
    <xdr:to>
      <xdr:col>30</xdr:col>
      <xdr:colOff>41040</xdr:colOff>
      <xdr:row>91</xdr:row>
      <xdr:rowOff>186120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19</xdr:col>
      <xdr:colOff>504720</xdr:colOff>
      <xdr:row>20</xdr:row>
      <xdr:rowOff>66600</xdr:rowOff>
    </xdr:from>
    <xdr:to>
      <xdr:col>29</xdr:col>
      <xdr:colOff>419040</xdr:colOff>
      <xdr:row>42</xdr:row>
      <xdr:rowOff>81000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304860</xdr:colOff>
      <xdr:row>78</xdr:row>
      <xdr:rowOff>38190</xdr:rowOff>
    </xdr:from>
    <xdr:to>
      <xdr:col>21</xdr:col>
      <xdr:colOff>358845</xdr:colOff>
      <xdr:row>99</xdr:row>
      <xdr:rowOff>151950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18</xdr:col>
      <xdr:colOff>152460</xdr:colOff>
      <xdr:row>44</xdr:row>
      <xdr:rowOff>104865</xdr:rowOff>
    </xdr:from>
    <xdr:to>
      <xdr:col>30</xdr:col>
      <xdr:colOff>238140</xdr:colOff>
      <xdr:row>67</xdr:row>
      <xdr:rowOff>43245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WiFi_Security_Assessment_Updated_1.xlsx" TargetMode="External"/><Relationship Id="rId2" Type="http://schemas.openxmlformats.org/officeDocument/2006/relationships/externalLinkPath" Target="file:///C:\Users\Himash's%20AORUS\Downloads\WiFi_Security_Assessment_Updated_1.xlsx" TargetMode="External"/><Relationship Id="rId1" Type="http://schemas.openxmlformats.org/officeDocument/2006/relationships/externalLinkPath" Target="/Users/Himash's%20AORUS/Downloads/WiFi_Security_Assessment_Updated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🗂️ Attack_Master_Index"/>
      <sheetName val="📋 Instructions"/>
      <sheetName val="📡 Network_Inventory"/>
      <sheetName val="🔴 Raw_Attack_Data"/>
      <sheetName val="🟡 Single_AP_Deep_Dive"/>
      <sheetName val="📊 Scoring_Calculator"/>
      <sheetName val="📈 Comparison_Analysis"/>
      <sheetName val="📉 Charts_Dashboard"/>
      <sheetName val="📝 Field_Notes"/>
      <sheetName val="🔐 WPA_WPA2_WPA3_Attacks"/>
      <sheetName val="👹 Evil_Twin_Attacks"/>
      <sheetName val="🎣 Phishing_Portal_Attacks"/>
      <sheetName val="🕵️ MITM_Attacks"/>
      <sheetName val="💥 DoS_Attacks"/>
      <sheetName val="📶 Bluetooth_Attacks"/>
      <sheetName val="🔌 Wired_Network_Attacks"/>
      <sheetName val="📊 Security_Char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44">
          <cell r="B44" t="str">
            <v>Score (sorted)</v>
          </cell>
        </row>
        <row r="45">
          <cell r="B45">
            <v>12</v>
          </cell>
        </row>
        <row r="46">
          <cell r="B46">
            <v>15</v>
          </cell>
        </row>
        <row r="47">
          <cell r="B47">
            <v>22</v>
          </cell>
        </row>
        <row r="48">
          <cell r="B48">
            <v>22</v>
          </cell>
        </row>
        <row r="49">
          <cell r="B49">
            <v>25</v>
          </cell>
        </row>
        <row r="50">
          <cell r="B50">
            <v>25</v>
          </cell>
        </row>
        <row r="51">
          <cell r="B51">
            <v>40</v>
          </cell>
        </row>
        <row r="52">
          <cell r="B52">
            <v>42</v>
          </cell>
        </row>
        <row r="53">
          <cell r="B53">
            <v>55</v>
          </cell>
        </row>
        <row r="54">
          <cell r="B54">
            <v>58</v>
          </cell>
        </row>
        <row r="55">
          <cell r="B55">
            <v>60</v>
          </cell>
        </row>
        <row r="56">
          <cell r="B56">
            <v>70</v>
          </cell>
        </row>
        <row r="57">
          <cell r="B57">
            <v>70</v>
          </cell>
        </row>
        <row r="58">
          <cell r="B58">
            <v>70</v>
          </cell>
        </row>
        <row r="59">
          <cell r="B59">
            <v>70</v>
          </cell>
        </row>
        <row r="60">
          <cell r="B60">
            <v>70</v>
          </cell>
        </row>
        <row r="61">
          <cell r="B61">
            <v>70</v>
          </cell>
        </row>
        <row r="62">
          <cell r="B62">
            <v>70</v>
          </cell>
        </row>
        <row r="63">
          <cell r="B63">
            <v>70</v>
          </cell>
        </row>
        <row r="64">
          <cell r="B64">
            <v>70</v>
          </cell>
        </row>
        <row r="65">
          <cell r="B65">
            <v>72</v>
          </cell>
        </row>
        <row r="66">
          <cell r="B66">
            <v>75</v>
          </cell>
        </row>
        <row r="67">
          <cell r="B67">
            <v>82</v>
          </cell>
        </row>
        <row r="68">
          <cell r="B68">
            <v>82</v>
          </cell>
        </row>
        <row r="69">
          <cell r="B69">
            <v>82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1"/>
  <sheetViews>
    <sheetView showGridLines="0" topLeftCell="A2" zoomScaleNormal="100" workbookViewId="0">
      <selection sqref="A1:J1"/>
    </sheetView>
  </sheetViews>
  <sheetFormatPr defaultColWidth="8.7109375" defaultRowHeight="15" x14ac:dyDescent="0.25"/>
  <cols>
    <col min="1" max="1" width="25.5703125" customWidth="1"/>
    <col min="2" max="2" width="44.42578125" customWidth="1"/>
    <col min="3" max="3" width="35" customWidth="1"/>
    <col min="4" max="4" width="30" customWidth="1"/>
    <col min="5" max="5" width="38" customWidth="1"/>
    <col min="6" max="6" width="12" customWidth="1"/>
    <col min="7" max="7" width="28.5703125" customWidth="1"/>
  </cols>
  <sheetData>
    <row r="1" spans="1:10" ht="39.75" customHeight="1" x14ac:dyDescent="0.25">
      <c r="A1" s="239" t="s">
        <v>256</v>
      </c>
      <c r="B1" s="237"/>
      <c r="C1" s="237"/>
      <c r="D1" s="237"/>
      <c r="E1" s="237"/>
      <c r="F1" s="237"/>
      <c r="G1" s="237"/>
      <c r="H1" s="237"/>
      <c r="I1" s="237"/>
      <c r="J1" s="237"/>
    </row>
    <row r="2" spans="1:10" ht="21.75" customHeight="1" x14ac:dyDescent="0.25">
      <c r="A2" s="241" t="s">
        <v>257</v>
      </c>
      <c r="B2" s="237"/>
      <c r="C2" s="237"/>
      <c r="D2" s="237"/>
      <c r="E2" s="237"/>
      <c r="F2" s="237"/>
      <c r="G2" s="237"/>
      <c r="H2" s="237"/>
      <c r="I2" s="237"/>
      <c r="J2" s="237"/>
    </row>
    <row r="4" spans="1:10" ht="18" customHeight="1" x14ac:dyDescent="0.25">
      <c r="A4" s="240" t="s">
        <v>258</v>
      </c>
      <c r="B4" s="237"/>
      <c r="C4" s="237"/>
      <c r="D4" s="237"/>
      <c r="E4" s="237"/>
      <c r="F4" s="237"/>
      <c r="G4" s="237"/>
      <c r="H4" s="237"/>
      <c r="I4" s="237"/>
      <c r="J4" s="237"/>
    </row>
    <row r="5" spans="1:10" ht="15" customHeight="1" x14ac:dyDescent="0.25">
      <c r="A5" s="12" t="s">
        <v>259</v>
      </c>
      <c r="B5" s="12" t="s">
        <v>260</v>
      </c>
      <c r="C5" s="12" t="s">
        <v>261</v>
      </c>
    </row>
    <row r="6" spans="1:10" ht="15.75" customHeight="1" x14ac:dyDescent="0.25">
      <c r="A6" s="13" t="s">
        <v>262</v>
      </c>
      <c r="B6" s="14" t="s">
        <v>263</v>
      </c>
      <c r="C6" s="15" t="s">
        <v>264</v>
      </c>
    </row>
    <row r="7" spans="1:10" ht="15.75" customHeight="1" x14ac:dyDescent="0.25">
      <c r="A7" s="16" t="s">
        <v>265</v>
      </c>
      <c r="B7" s="17" t="s">
        <v>266</v>
      </c>
      <c r="C7" s="17" t="s">
        <v>267</v>
      </c>
    </row>
    <row r="8" spans="1:10" ht="15.75" customHeight="1" x14ac:dyDescent="0.25">
      <c r="A8" s="13" t="s">
        <v>268</v>
      </c>
      <c r="B8" s="15" t="s">
        <v>269</v>
      </c>
      <c r="C8" s="15" t="s">
        <v>270</v>
      </c>
    </row>
    <row r="9" spans="1:10" ht="15.75" customHeight="1" x14ac:dyDescent="0.25">
      <c r="A9" s="16" t="s">
        <v>271</v>
      </c>
      <c r="B9" s="17" t="s">
        <v>272</v>
      </c>
      <c r="C9" s="17" t="s">
        <v>273</v>
      </c>
    </row>
    <row r="10" spans="1:10" ht="15.75" customHeight="1" x14ac:dyDescent="0.25">
      <c r="A10" s="13" t="s">
        <v>274</v>
      </c>
      <c r="B10" s="15" t="s">
        <v>275</v>
      </c>
      <c r="C10" s="15" t="s">
        <v>276</v>
      </c>
    </row>
    <row r="11" spans="1:10" ht="15.75" customHeight="1" x14ac:dyDescent="0.25">
      <c r="A11" s="16" t="s">
        <v>277</v>
      </c>
      <c r="B11" s="17" t="s">
        <v>278</v>
      </c>
      <c r="C11" s="17" t="s">
        <v>279</v>
      </c>
    </row>
    <row r="12" spans="1:10" ht="15.75" customHeight="1" x14ac:dyDescent="0.25">
      <c r="A12" s="13" t="s">
        <v>280</v>
      </c>
      <c r="B12" s="15" t="s">
        <v>281</v>
      </c>
      <c r="C12" s="15" t="s">
        <v>282</v>
      </c>
    </row>
    <row r="13" spans="1:10" ht="15.75" customHeight="1" x14ac:dyDescent="0.25">
      <c r="A13" s="16" t="s">
        <v>283</v>
      </c>
      <c r="B13" s="17" t="s">
        <v>284</v>
      </c>
      <c r="C13" s="17" t="s">
        <v>285</v>
      </c>
    </row>
    <row r="15" spans="1:10" ht="18" customHeight="1" x14ac:dyDescent="0.25">
      <c r="A15" s="240" t="s">
        <v>286</v>
      </c>
      <c r="B15" s="237"/>
      <c r="C15" s="237"/>
      <c r="D15" s="237"/>
      <c r="E15" s="237"/>
      <c r="F15" s="237"/>
      <c r="G15" s="237"/>
      <c r="H15" s="237"/>
      <c r="I15" s="237"/>
      <c r="J15" s="237"/>
    </row>
    <row r="16" spans="1:10" ht="15" customHeight="1" x14ac:dyDescent="0.25">
      <c r="A16" s="18" t="s">
        <v>17</v>
      </c>
      <c r="B16" s="18" t="s">
        <v>18</v>
      </c>
      <c r="C16" s="18" t="s">
        <v>19</v>
      </c>
      <c r="D16" s="18" t="s">
        <v>287</v>
      </c>
      <c r="E16" s="18" t="s">
        <v>288</v>
      </c>
      <c r="F16" s="18" t="s">
        <v>289</v>
      </c>
    </row>
    <row r="17" spans="1:10" ht="15.75" customHeight="1" x14ac:dyDescent="0.25">
      <c r="A17" s="19" t="s">
        <v>290</v>
      </c>
      <c r="B17" s="17" t="s">
        <v>29</v>
      </c>
      <c r="C17" s="17" t="s">
        <v>30</v>
      </c>
      <c r="D17" s="17" t="s">
        <v>291</v>
      </c>
      <c r="E17" s="17" t="s">
        <v>292</v>
      </c>
      <c r="F17" s="17" t="s">
        <v>293</v>
      </c>
    </row>
    <row r="18" spans="1:10" ht="15.75" customHeight="1" x14ac:dyDescent="0.25">
      <c r="A18" s="20" t="s">
        <v>294</v>
      </c>
      <c r="B18" s="15" t="s">
        <v>295</v>
      </c>
      <c r="C18" s="15" t="s">
        <v>296</v>
      </c>
      <c r="D18" s="15" t="s">
        <v>297</v>
      </c>
      <c r="E18" s="15" t="s">
        <v>298</v>
      </c>
      <c r="F18" s="15" t="s">
        <v>293</v>
      </c>
    </row>
    <row r="19" spans="1:10" ht="15.75" customHeight="1" x14ac:dyDescent="0.25">
      <c r="A19" s="19" t="s">
        <v>299</v>
      </c>
      <c r="B19" s="17" t="s">
        <v>47</v>
      </c>
      <c r="C19" s="17" t="s">
        <v>300</v>
      </c>
      <c r="D19" s="17" t="s">
        <v>301</v>
      </c>
      <c r="E19" s="17" t="s">
        <v>302</v>
      </c>
      <c r="F19" s="17" t="s">
        <v>303</v>
      </c>
    </row>
    <row r="20" spans="1:10" ht="15.75" customHeight="1" x14ac:dyDescent="0.25">
      <c r="A20" s="20" t="s">
        <v>304</v>
      </c>
      <c r="B20" s="15" t="s">
        <v>305</v>
      </c>
      <c r="C20" s="15" t="s">
        <v>306</v>
      </c>
      <c r="D20" s="15" t="s">
        <v>307</v>
      </c>
      <c r="E20" s="15" t="s">
        <v>308</v>
      </c>
      <c r="F20" s="15" t="s">
        <v>309</v>
      </c>
    </row>
    <row r="21" spans="1:10" ht="15.75" customHeight="1" x14ac:dyDescent="0.25">
      <c r="A21" s="19" t="s">
        <v>310</v>
      </c>
      <c r="B21" s="17" t="s">
        <v>65</v>
      </c>
      <c r="C21" s="17" t="s">
        <v>66</v>
      </c>
      <c r="D21" s="17" t="s">
        <v>311</v>
      </c>
      <c r="E21" s="17" t="s">
        <v>312</v>
      </c>
      <c r="F21" s="17" t="s">
        <v>313</v>
      </c>
    </row>
    <row r="22" spans="1:10" ht="15.75" customHeight="1" x14ac:dyDescent="0.25">
      <c r="A22" s="20" t="s">
        <v>314</v>
      </c>
      <c r="B22" s="15" t="s">
        <v>75</v>
      </c>
      <c r="C22" s="15" t="s">
        <v>315</v>
      </c>
      <c r="D22" s="15" t="s">
        <v>316</v>
      </c>
      <c r="E22" s="15" t="s">
        <v>317</v>
      </c>
      <c r="F22" s="15" t="s">
        <v>318</v>
      </c>
    </row>
    <row r="25" spans="1:10" ht="15.75" customHeight="1" x14ac:dyDescent="0.25">
      <c r="A25" s="240" t="s">
        <v>319</v>
      </c>
      <c r="B25" s="237"/>
      <c r="C25" s="237"/>
      <c r="D25" s="237"/>
      <c r="E25" s="237"/>
      <c r="F25" s="237"/>
      <c r="G25" s="237"/>
      <c r="H25" s="237"/>
      <c r="I25" s="237"/>
      <c r="J25" s="237"/>
    </row>
    <row r="26" spans="1:10" ht="15" customHeight="1" x14ac:dyDescent="0.25">
      <c r="A26" s="21" t="s">
        <v>320</v>
      </c>
      <c r="B26" s="21" t="s">
        <v>321</v>
      </c>
      <c r="C26" s="21" t="s">
        <v>322</v>
      </c>
      <c r="D26" s="21"/>
    </row>
    <row r="27" spans="1:10" ht="32.25" customHeight="1" x14ac:dyDescent="0.25">
      <c r="A27" s="22" t="s">
        <v>323</v>
      </c>
      <c r="B27" s="23" t="s">
        <v>324</v>
      </c>
      <c r="C27" s="24" t="s">
        <v>325</v>
      </c>
      <c r="D27" s="25" t="s">
        <v>326</v>
      </c>
    </row>
    <row r="28" spans="1:10" ht="34.5" customHeight="1" x14ac:dyDescent="0.25">
      <c r="A28" s="22" t="s">
        <v>327</v>
      </c>
      <c r="B28" s="26" t="s">
        <v>328</v>
      </c>
      <c r="C28" s="24" t="s">
        <v>329</v>
      </c>
      <c r="D28" s="27" t="s">
        <v>326</v>
      </c>
    </row>
    <row r="29" spans="1:10" ht="34.5" customHeight="1" x14ac:dyDescent="0.25">
      <c r="A29" s="22" t="s">
        <v>330</v>
      </c>
      <c r="B29" s="28" t="s">
        <v>331</v>
      </c>
      <c r="C29" s="24" t="s">
        <v>332</v>
      </c>
      <c r="D29" s="29" t="s">
        <v>326</v>
      </c>
    </row>
    <row r="30" spans="1:10" ht="37.5" customHeight="1" x14ac:dyDescent="0.25">
      <c r="A30" s="22" t="s">
        <v>333</v>
      </c>
      <c r="B30" s="30" t="s">
        <v>334</v>
      </c>
      <c r="C30" s="24" t="s">
        <v>335</v>
      </c>
      <c r="D30" s="31" t="s">
        <v>326</v>
      </c>
    </row>
    <row r="31" spans="1:10" ht="35.25" customHeight="1" x14ac:dyDescent="0.25">
      <c r="A31" s="22" t="s">
        <v>336</v>
      </c>
      <c r="B31" s="32" t="s">
        <v>337</v>
      </c>
      <c r="C31" s="24" t="s">
        <v>338</v>
      </c>
      <c r="D31" s="33" t="s">
        <v>326</v>
      </c>
    </row>
  </sheetData>
  <mergeCells count="5">
    <mergeCell ref="A1:J1"/>
    <mergeCell ref="A15:J15"/>
    <mergeCell ref="A4:J4"/>
    <mergeCell ref="A2:J2"/>
    <mergeCell ref="A25:J2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60"/>
  <sheetViews>
    <sheetView zoomScaleNormal="100" workbookViewId="0">
      <pane xSplit="1" ySplit="3" topLeftCell="B49" activePane="bottomRight" state="frozen"/>
      <selection pane="topRight" activeCell="B1" sqref="B1"/>
      <selection pane="bottomLeft" activeCell="A39" sqref="A39"/>
      <selection pane="bottomRight" sqref="A1:G1"/>
    </sheetView>
  </sheetViews>
  <sheetFormatPr defaultColWidth="8.7109375" defaultRowHeight="15" x14ac:dyDescent="0.25"/>
  <cols>
    <col min="1" max="1" width="5" customWidth="1"/>
    <col min="2" max="2" width="32" customWidth="1"/>
    <col min="3" max="3" width="24" customWidth="1"/>
    <col min="4" max="4" width="26" customWidth="1"/>
    <col min="5" max="5" width="12" customWidth="1"/>
    <col min="6" max="6" width="14" customWidth="1"/>
    <col min="7" max="7" width="28.5703125" customWidth="1"/>
  </cols>
  <sheetData>
    <row r="1" spans="1:7" ht="42" customHeight="1" x14ac:dyDescent="0.25">
      <c r="A1" s="238" t="s">
        <v>94</v>
      </c>
      <c r="B1" s="237"/>
      <c r="C1" s="237"/>
      <c r="D1" s="237"/>
      <c r="E1" s="237"/>
      <c r="F1" s="237"/>
      <c r="G1" s="237"/>
    </row>
    <row r="2" spans="1:7" ht="18" customHeight="1" x14ac:dyDescent="0.25">
      <c r="A2" s="236" t="s">
        <v>95</v>
      </c>
      <c r="B2" s="237"/>
      <c r="C2" s="237"/>
      <c r="D2" s="237"/>
      <c r="E2" s="237"/>
      <c r="F2" s="237"/>
      <c r="G2" s="237"/>
    </row>
    <row r="3" spans="1:7" ht="30" customHeight="1" x14ac:dyDescent="0.25">
      <c r="A3" s="1" t="s">
        <v>17</v>
      </c>
      <c r="B3" s="1" t="s">
        <v>18</v>
      </c>
      <c r="C3" s="1" t="s">
        <v>96</v>
      </c>
      <c r="D3" s="1" t="s">
        <v>97</v>
      </c>
      <c r="E3" s="1" t="s">
        <v>98</v>
      </c>
      <c r="F3" s="1" t="s">
        <v>99</v>
      </c>
      <c r="G3" s="1" t="s">
        <v>100</v>
      </c>
    </row>
    <row r="4" spans="1:7" ht="18" customHeight="1" x14ac:dyDescent="0.25">
      <c r="A4" s="2">
        <v>1</v>
      </c>
      <c r="B4" s="3" t="s">
        <v>101</v>
      </c>
      <c r="C4" s="3" t="s">
        <v>102</v>
      </c>
      <c r="D4" s="3" t="s">
        <v>103</v>
      </c>
      <c r="E4" s="4" t="s">
        <v>104</v>
      </c>
      <c r="F4" s="3" t="s">
        <v>105</v>
      </c>
      <c r="G4" s="3" t="s">
        <v>106</v>
      </c>
    </row>
    <row r="5" spans="1:7" ht="18" customHeight="1" x14ac:dyDescent="0.25">
      <c r="A5" s="5">
        <v>2</v>
      </c>
      <c r="B5" s="6" t="s">
        <v>107</v>
      </c>
      <c r="C5" s="6" t="s">
        <v>102</v>
      </c>
      <c r="D5" s="6" t="s">
        <v>108</v>
      </c>
      <c r="E5" s="7" t="s">
        <v>104</v>
      </c>
      <c r="F5" s="6" t="s">
        <v>105</v>
      </c>
      <c r="G5" s="6" t="s">
        <v>106</v>
      </c>
    </row>
    <row r="6" spans="1:7" ht="18" customHeight="1" x14ac:dyDescent="0.25">
      <c r="A6" s="2">
        <v>3</v>
      </c>
      <c r="B6" s="3" t="s">
        <v>109</v>
      </c>
      <c r="C6" s="3" t="s">
        <v>102</v>
      </c>
      <c r="D6" s="3" t="s">
        <v>110</v>
      </c>
      <c r="E6" s="4" t="s">
        <v>104</v>
      </c>
      <c r="F6" s="3" t="s">
        <v>111</v>
      </c>
      <c r="G6" s="3" t="s">
        <v>106</v>
      </c>
    </row>
    <row r="7" spans="1:7" ht="18" customHeight="1" x14ac:dyDescent="0.25">
      <c r="A7" s="5">
        <v>4</v>
      </c>
      <c r="B7" s="6" t="s">
        <v>47</v>
      </c>
      <c r="C7" s="6" t="s">
        <v>102</v>
      </c>
      <c r="D7" s="6" t="s">
        <v>112</v>
      </c>
      <c r="E7" s="7" t="s">
        <v>104</v>
      </c>
      <c r="F7" s="6" t="s">
        <v>113</v>
      </c>
      <c r="G7" s="6" t="s">
        <v>106</v>
      </c>
    </row>
    <row r="8" spans="1:7" ht="18" customHeight="1" x14ac:dyDescent="0.25">
      <c r="A8" s="2">
        <v>5</v>
      </c>
      <c r="B8" s="3" t="s">
        <v>114</v>
      </c>
      <c r="C8" s="3" t="s">
        <v>102</v>
      </c>
      <c r="D8" s="3" t="s">
        <v>115</v>
      </c>
      <c r="E8" s="4" t="s">
        <v>104</v>
      </c>
      <c r="F8" s="3" t="s">
        <v>116</v>
      </c>
      <c r="G8" s="3" t="s">
        <v>106</v>
      </c>
    </row>
    <row r="9" spans="1:7" ht="18" customHeight="1" x14ac:dyDescent="0.25">
      <c r="A9" s="5">
        <v>6</v>
      </c>
      <c r="B9" s="6" t="s">
        <v>117</v>
      </c>
      <c r="C9" s="6" t="s">
        <v>102</v>
      </c>
      <c r="D9" s="6" t="s">
        <v>118</v>
      </c>
      <c r="E9" s="7" t="s">
        <v>104</v>
      </c>
      <c r="F9" s="6" t="s">
        <v>116</v>
      </c>
      <c r="G9" s="6" t="s">
        <v>106</v>
      </c>
    </row>
    <row r="10" spans="1:7" ht="18" customHeight="1" x14ac:dyDescent="0.25">
      <c r="A10" s="2">
        <v>7</v>
      </c>
      <c r="B10" s="3" t="s">
        <v>119</v>
      </c>
      <c r="C10" s="3" t="s">
        <v>102</v>
      </c>
      <c r="D10" s="3" t="s">
        <v>120</v>
      </c>
      <c r="E10" s="8" t="s">
        <v>121</v>
      </c>
      <c r="F10" s="3" t="s">
        <v>122</v>
      </c>
      <c r="G10" s="3" t="s">
        <v>106</v>
      </c>
    </row>
    <row r="11" spans="1:7" ht="18" customHeight="1" x14ac:dyDescent="0.25">
      <c r="A11" s="5">
        <v>8</v>
      </c>
      <c r="B11" s="6" t="s">
        <v>123</v>
      </c>
      <c r="C11" s="6" t="s">
        <v>102</v>
      </c>
      <c r="D11" s="6" t="s">
        <v>124</v>
      </c>
      <c r="E11" s="7" t="s">
        <v>104</v>
      </c>
      <c r="F11" s="6" t="s">
        <v>105</v>
      </c>
      <c r="G11" s="6" t="s">
        <v>106</v>
      </c>
    </row>
    <row r="12" spans="1:7" ht="18" customHeight="1" x14ac:dyDescent="0.25">
      <c r="A12" s="2">
        <v>9</v>
      </c>
      <c r="B12" s="3" t="s">
        <v>125</v>
      </c>
      <c r="C12" s="3" t="s">
        <v>102</v>
      </c>
      <c r="D12" s="3" t="s">
        <v>126</v>
      </c>
      <c r="E12" s="8" t="s">
        <v>121</v>
      </c>
      <c r="F12" s="3" t="s">
        <v>105</v>
      </c>
      <c r="G12" s="3" t="s">
        <v>106</v>
      </c>
    </row>
    <row r="13" spans="1:7" ht="18" customHeight="1" x14ac:dyDescent="0.25">
      <c r="A13" s="5">
        <v>10</v>
      </c>
      <c r="B13" s="6" t="s">
        <v>127</v>
      </c>
      <c r="C13" s="6" t="s">
        <v>102</v>
      </c>
      <c r="D13" s="6" t="s">
        <v>128</v>
      </c>
      <c r="E13" s="7" t="s">
        <v>104</v>
      </c>
      <c r="F13" s="6" t="s">
        <v>129</v>
      </c>
      <c r="G13" s="6" t="s">
        <v>106</v>
      </c>
    </row>
    <row r="14" spans="1:7" ht="18" customHeight="1" x14ac:dyDescent="0.25">
      <c r="A14" s="2">
        <v>11</v>
      </c>
      <c r="B14" s="3" t="s">
        <v>130</v>
      </c>
      <c r="C14" s="3" t="s">
        <v>131</v>
      </c>
      <c r="D14" s="3" t="s">
        <v>132</v>
      </c>
      <c r="E14" s="4" t="s">
        <v>104</v>
      </c>
      <c r="F14" s="3" t="s">
        <v>129</v>
      </c>
      <c r="G14" s="3" t="s">
        <v>133</v>
      </c>
    </row>
    <row r="15" spans="1:7" ht="18" customHeight="1" x14ac:dyDescent="0.25">
      <c r="A15" s="5">
        <v>12</v>
      </c>
      <c r="B15" s="6" t="s">
        <v>134</v>
      </c>
      <c r="C15" s="6" t="s">
        <v>131</v>
      </c>
      <c r="D15" s="6" t="s">
        <v>135</v>
      </c>
      <c r="E15" s="7" t="s">
        <v>104</v>
      </c>
      <c r="F15" s="6" t="s">
        <v>129</v>
      </c>
      <c r="G15" s="6" t="s">
        <v>133</v>
      </c>
    </row>
    <row r="16" spans="1:7" ht="18" customHeight="1" x14ac:dyDescent="0.25">
      <c r="A16" s="2">
        <v>13</v>
      </c>
      <c r="B16" s="3" t="s">
        <v>136</v>
      </c>
      <c r="C16" s="3" t="s">
        <v>131</v>
      </c>
      <c r="D16" s="3" t="s">
        <v>137</v>
      </c>
      <c r="E16" s="4" t="s">
        <v>104</v>
      </c>
      <c r="F16" s="3" t="s">
        <v>129</v>
      </c>
      <c r="G16" s="3" t="s">
        <v>133</v>
      </c>
    </row>
    <row r="17" spans="1:7" ht="18" customHeight="1" x14ac:dyDescent="0.25">
      <c r="A17" s="5">
        <v>14</v>
      </c>
      <c r="B17" s="6" t="s">
        <v>138</v>
      </c>
      <c r="C17" s="6" t="s">
        <v>131</v>
      </c>
      <c r="D17" s="6" t="s">
        <v>139</v>
      </c>
      <c r="E17" s="7" t="s">
        <v>104</v>
      </c>
      <c r="F17" s="6" t="s">
        <v>129</v>
      </c>
      <c r="G17" s="6" t="s">
        <v>133</v>
      </c>
    </row>
    <row r="18" spans="1:7" ht="18" customHeight="1" x14ac:dyDescent="0.25">
      <c r="A18" s="2">
        <v>15</v>
      </c>
      <c r="B18" s="3" t="s">
        <v>140</v>
      </c>
      <c r="C18" s="3" t="s">
        <v>131</v>
      </c>
      <c r="D18" s="3" t="s">
        <v>141</v>
      </c>
      <c r="E18" s="4" t="s">
        <v>104</v>
      </c>
      <c r="F18" s="3" t="s">
        <v>129</v>
      </c>
      <c r="G18" s="3" t="s">
        <v>133</v>
      </c>
    </row>
    <row r="19" spans="1:7" ht="18" customHeight="1" x14ac:dyDescent="0.25">
      <c r="A19" s="5">
        <v>16</v>
      </c>
      <c r="B19" s="6" t="s">
        <v>142</v>
      </c>
      <c r="C19" s="6" t="s">
        <v>131</v>
      </c>
      <c r="D19" s="6" t="s">
        <v>143</v>
      </c>
      <c r="E19" s="7" t="s">
        <v>104</v>
      </c>
      <c r="F19" s="6" t="s">
        <v>129</v>
      </c>
      <c r="G19" s="6" t="s">
        <v>133</v>
      </c>
    </row>
    <row r="20" spans="1:7" ht="18" customHeight="1" x14ac:dyDescent="0.25">
      <c r="A20" s="2">
        <v>17</v>
      </c>
      <c r="B20" s="3" t="s">
        <v>144</v>
      </c>
      <c r="C20" s="3" t="s">
        <v>145</v>
      </c>
      <c r="D20" s="3" t="s">
        <v>146</v>
      </c>
      <c r="E20" s="4" t="s">
        <v>104</v>
      </c>
      <c r="F20" s="3" t="s">
        <v>147</v>
      </c>
      <c r="G20" s="3" t="s">
        <v>148</v>
      </c>
    </row>
    <row r="21" spans="1:7" ht="18" customHeight="1" x14ac:dyDescent="0.25">
      <c r="A21" s="5">
        <v>18</v>
      </c>
      <c r="B21" s="6" t="s">
        <v>149</v>
      </c>
      <c r="C21" s="6" t="s">
        <v>145</v>
      </c>
      <c r="D21" s="6" t="s">
        <v>150</v>
      </c>
      <c r="E21" s="7" t="s">
        <v>104</v>
      </c>
      <c r="F21" s="6" t="s">
        <v>151</v>
      </c>
      <c r="G21" s="6" t="s">
        <v>148</v>
      </c>
    </row>
    <row r="22" spans="1:7" ht="18" customHeight="1" x14ac:dyDescent="0.25">
      <c r="A22" s="2">
        <v>19</v>
      </c>
      <c r="B22" s="3" t="s">
        <v>152</v>
      </c>
      <c r="C22" s="3" t="s">
        <v>145</v>
      </c>
      <c r="D22" s="3" t="s">
        <v>153</v>
      </c>
      <c r="E22" s="4" t="s">
        <v>104</v>
      </c>
      <c r="F22" s="3" t="s">
        <v>154</v>
      </c>
      <c r="G22" s="3" t="s">
        <v>148</v>
      </c>
    </row>
    <row r="23" spans="1:7" ht="18" customHeight="1" x14ac:dyDescent="0.25">
      <c r="A23" s="5">
        <v>20</v>
      </c>
      <c r="B23" s="6" t="s">
        <v>155</v>
      </c>
      <c r="C23" s="6" t="s">
        <v>145</v>
      </c>
      <c r="D23" s="6" t="s">
        <v>143</v>
      </c>
      <c r="E23" s="7" t="s">
        <v>104</v>
      </c>
      <c r="F23" s="6" t="s">
        <v>154</v>
      </c>
      <c r="G23" s="6" t="s">
        <v>148</v>
      </c>
    </row>
    <row r="24" spans="1:7" ht="18" customHeight="1" x14ac:dyDescent="0.25">
      <c r="A24" s="2">
        <v>21</v>
      </c>
      <c r="B24" s="3" t="s">
        <v>156</v>
      </c>
      <c r="C24" s="3" t="s">
        <v>145</v>
      </c>
      <c r="D24" s="3" t="s">
        <v>157</v>
      </c>
      <c r="E24" s="4" t="s">
        <v>104</v>
      </c>
      <c r="F24" s="3" t="s">
        <v>158</v>
      </c>
      <c r="G24" s="3" t="s">
        <v>148</v>
      </c>
    </row>
    <row r="25" spans="1:7" ht="18" customHeight="1" x14ac:dyDescent="0.25">
      <c r="A25" s="5">
        <v>22</v>
      </c>
      <c r="B25" s="6" t="s">
        <v>159</v>
      </c>
      <c r="C25" s="6" t="s">
        <v>145</v>
      </c>
      <c r="D25" s="6" t="s">
        <v>160</v>
      </c>
      <c r="E25" s="7" t="s">
        <v>104</v>
      </c>
      <c r="F25" s="6" t="s">
        <v>161</v>
      </c>
      <c r="G25" s="6" t="s">
        <v>148</v>
      </c>
    </row>
    <row r="26" spans="1:7" ht="18" customHeight="1" x14ac:dyDescent="0.25">
      <c r="A26" s="2">
        <v>23</v>
      </c>
      <c r="B26" s="3" t="s">
        <v>162</v>
      </c>
      <c r="C26" s="3" t="s">
        <v>145</v>
      </c>
      <c r="D26" s="3" t="s">
        <v>163</v>
      </c>
      <c r="E26" s="8" t="s">
        <v>121</v>
      </c>
      <c r="F26" s="3" t="s">
        <v>164</v>
      </c>
      <c r="G26" s="3" t="s">
        <v>148</v>
      </c>
    </row>
    <row r="27" spans="1:7" ht="18" customHeight="1" x14ac:dyDescent="0.25">
      <c r="A27" s="5">
        <v>24</v>
      </c>
      <c r="B27" s="6" t="s">
        <v>165</v>
      </c>
      <c r="C27" s="6" t="s">
        <v>166</v>
      </c>
      <c r="D27" s="6" t="s">
        <v>167</v>
      </c>
      <c r="E27" s="7" t="s">
        <v>104</v>
      </c>
      <c r="F27" s="6" t="s">
        <v>168</v>
      </c>
      <c r="G27" s="6" t="s">
        <v>169</v>
      </c>
    </row>
    <row r="28" spans="1:7" ht="18" customHeight="1" x14ac:dyDescent="0.25">
      <c r="A28" s="2">
        <v>25</v>
      </c>
      <c r="B28" s="3" t="s">
        <v>170</v>
      </c>
      <c r="C28" s="3" t="s">
        <v>166</v>
      </c>
      <c r="D28" s="3" t="s">
        <v>171</v>
      </c>
      <c r="E28" s="4" t="s">
        <v>104</v>
      </c>
      <c r="F28" s="3" t="s">
        <v>168</v>
      </c>
      <c r="G28" s="3" t="s">
        <v>169</v>
      </c>
    </row>
    <row r="29" spans="1:7" ht="18" customHeight="1" x14ac:dyDescent="0.25">
      <c r="A29" s="5">
        <v>26</v>
      </c>
      <c r="B29" s="6" t="s">
        <v>172</v>
      </c>
      <c r="C29" s="6" t="s">
        <v>166</v>
      </c>
      <c r="D29" s="6" t="s">
        <v>173</v>
      </c>
      <c r="E29" s="7" t="s">
        <v>104</v>
      </c>
      <c r="F29" s="6" t="s">
        <v>174</v>
      </c>
      <c r="G29" s="6" t="s">
        <v>169</v>
      </c>
    </row>
    <row r="30" spans="1:7" ht="18" customHeight="1" x14ac:dyDescent="0.25">
      <c r="A30" s="2">
        <v>27</v>
      </c>
      <c r="B30" s="3" t="s">
        <v>175</v>
      </c>
      <c r="C30" s="3" t="s">
        <v>166</v>
      </c>
      <c r="D30" s="3" t="s">
        <v>176</v>
      </c>
      <c r="E30" s="4" t="s">
        <v>104</v>
      </c>
      <c r="F30" s="3" t="s">
        <v>177</v>
      </c>
      <c r="G30" s="3" t="s">
        <v>169</v>
      </c>
    </row>
    <row r="31" spans="1:7" ht="18" customHeight="1" x14ac:dyDescent="0.25">
      <c r="A31" s="5">
        <v>28</v>
      </c>
      <c r="B31" s="6" t="s">
        <v>178</v>
      </c>
      <c r="C31" s="6" t="s">
        <v>166</v>
      </c>
      <c r="D31" s="6" t="s">
        <v>179</v>
      </c>
      <c r="E31" s="7" t="s">
        <v>104</v>
      </c>
      <c r="F31" s="6" t="s">
        <v>180</v>
      </c>
      <c r="G31" s="6" t="s">
        <v>169</v>
      </c>
    </row>
    <row r="32" spans="1:7" ht="18" customHeight="1" x14ac:dyDescent="0.25">
      <c r="A32" s="2">
        <v>29</v>
      </c>
      <c r="B32" s="3" t="s">
        <v>181</v>
      </c>
      <c r="C32" s="3" t="s">
        <v>166</v>
      </c>
      <c r="D32" s="3" t="s">
        <v>182</v>
      </c>
      <c r="E32" s="4" t="s">
        <v>104</v>
      </c>
      <c r="F32" s="3" t="s">
        <v>183</v>
      </c>
      <c r="G32" s="3" t="s">
        <v>169</v>
      </c>
    </row>
    <row r="33" spans="1:7" ht="18" customHeight="1" x14ac:dyDescent="0.25">
      <c r="A33" s="5">
        <v>30</v>
      </c>
      <c r="B33" s="6" t="s">
        <v>184</v>
      </c>
      <c r="C33" s="6" t="s">
        <v>166</v>
      </c>
      <c r="D33" s="6" t="s">
        <v>185</v>
      </c>
      <c r="E33" s="9" t="s">
        <v>121</v>
      </c>
      <c r="F33" s="6" t="s">
        <v>168</v>
      </c>
      <c r="G33" s="6" t="s">
        <v>169</v>
      </c>
    </row>
    <row r="34" spans="1:7" ht="18" customHeight="1" x14ac:dyDescent="0.25">
      <c r="A34" s="2">
        <v>31</v>
      </c>
      <c r="B34" s="3" t="s">
        <v>186</v>
      </c>
      <c r="C34" s="3" t="s">
        <v>166</v>
      </c>
      <c r="D34" s="3" t="s">
        <v>185</v>
      </c>
      <c r="E34" s="8" t="s">
        <v>121</v>
      </c>
      <c r="F34" s="3" t="s">
        <v>168</v>
      </c>
      <c r="G34" s="3" t="s">
        <v>169</v>
      </c>
    </row>
    <row r="35" spans="1:7" ht="18" customHeight="1" x14ac:dyDescent="0.25">
      <c r="A35" s="5">
        <v>32</v>
      </c>
      <c r="B35" s="6" t="s">
        <v>187</v>
      </c>
      <c r="C35" s="6" t="s">
        <v>188</v>
      </c>
      <c r="D35" s="6" t="s">
        <v>189</v>
      </c>
      <c r="E35" s="7" t="s">
        <v>104</v>
      </c>
      <c r="F35" s="6" t="s">
        <v>129</v>
      </c>
      <c r="G35" s="6" t="s">
        <v>190</v>
      </c>
    </row>
    <row r="36" spans="1:7" ht="18" customHeight="1" x14ac:dyDescent="0.25">
      <c r="A36" s="2">
        <v>33</v>
      </c>
      <c r="B36" s="3" t="s">
        <v>191</v>
      </c>
      <c r="C36" s="3" t="s">
        <v>188</v>
      </c>
      <c r="D36" s="3" t="s">
        <v>189</v>
      </c>
      <c r="E36" s="8" t="s">
        <v>121</v>
      </c>
      <c r="F36" s="3" t="s">
        <v>129</v>
      </c>
      <c r="G36" s="3" t="s">
        <v>190</v>
      </c>
    </row>
    <row r="37" spans="1:7" ht="18" customHeight="1" x14ac:dyDescent="0.25">
      <c r="A37" s="5">
        <v>34</v>
      </c>
      <c r="B37" s="6" t="s">
        <v>192</v>
      </c>
      <c r="C37" s="6" t="s">
        <v>188</v>
      </c>
      <c r="D37" s="6" t="s">
        <v>189</v>
      </c>
      <c r="E37" s="9" t="s">
        <v>121</v>
      </c>
      <c r="F37" s="6" t="s">
        <v>193</v>
      </c>
      <c r="G37" s="6" t="s">
        <v>190</v>
      </c>
    </row>
    <row r="38" spans="1:7" ht="18" customHeight="1" x14ac:dyDescent="0.25">
      <c r="A38" s="2">
        <v>35</v>
      </c>
      <c r="B38" s="3" t="s">
        <v>194</v>
      </c>
      <c r="C38" s="3" t="s">
        <v>188</v>
      </c>
      <c r="D38" s="3" t="s">
        <v>189</v>
      </c>
      <c r="E38" s="8" t="s">
        <v>121</v>
      </c>
      <c r="F38" s="3" t="s">
        <v>105</v>
      </c>
      <c r="G38" s="3" t="s">
        <v>190</v>
      </c>
    </row>
    <row r="39" spans="1:7" ht="18" customHeight="1" x14ac:dyDescent="0.25">
      <c r="A39" s="5">
        <v>36</v>
      </c>
      <c r="B39" s="6" t="s">
        <v>195</v>
      </c>
      <c r="C39" s="6" t="s">
        <v>188</v>
      </c>
      <c r="D39" s="6" t="s">
        <v>196</v>
      </c>
      <c r="E39" s="9" t="s">
        <v>121</v>
      </c>
      <c r="F39" s="6" t="s">
        <v>197</v>
      </c>
      <c r="G39" s="6" t="s">
        <v>190</v>
      </c>
    </row>
    <row r="40" spans="1:7" ht="18" customHeight="1" x14ac:dyDescent="0.25">
      <c r="A40" s="2">
        <v>37</v>
      </c>
      <c r="B40" s="3" t="s">
        <v>198</v>
      </c>
      <c r="C40" s="3" t="s">
        <v>188</v>
      </c>
      <c r="D40" s="3" t="s">
        <v>199</v>
      </c>
      <c r="E40" s="4" t="s">
        <v>104</v>
      </c>
      <c r="F40" s="3" t="s">
        <v>200</v>
      </c>
      <c r="G40" s="3" t="s">
        <v>190</v>
      </c>
    </row>
    <row r="41" spans="1:7" ht="18" customHeight="1" x14ac:dyDescent="0.25">
      <c r="A41" s="5">
        <v>38</v>
      </c>
      <c r="B41" s="6" t="s">
        <v>201</v>
      </c>
      <c r="C41" s="6" t="s">
        <v>188</v>
      </c>
      <c r="D41" s="6" t="s">
        <v>199</v>
      </c>
      <c r="E41" s="7" t="s">
        <v>104</v>
      </c>
      <c r="F41" s="6" t="s">
        <v>202</v>
      </c>
      <c r="G41" s="6" t="s">
        <v>190</v>
      </c>
    </row>
    <row r="42" spans="1:7" ht="18" customHeight="1" x14ac:dyDescent="0.25">
      <c r="A42" s="2">
        <v>39</v>
      </c>
      <c r="B42" s="3" t="s">
        <v>203</v>
      </c>
      <c r="C42" s="3" t="s">
        <v>188</v>
      </c>
      <c r="D42" s="3" t="s">
        <v>204</v>
      </c>
      <c r="E42" s="8" t="s">
        <v>121</v>
      </c>
      <c r="F42" s="3" t="s">
        <v>205</v>
      </c>
      <c r="G42" s="3" t="s">
        <v>190</v>
      </c>
    </row>
    <row r="43" spans="1:7" ht="18" customHeight="1" x14ac:dyDescent="0.25">
      <c r="A43" s="5">
        <v>40</v>
      </c>
      <c r="B43" s="6" t="s">
        <v>206</v>
      </c>
      <c r="C43" s="6" t="s">
        <v>188</v>
      </c>
      <c r="D43" s="6" t="s">
        <v>76</v>
      </c>
      <c r="E43" s="7" t="s">
        <v>104</v>
      </c>
      <c r="F43" s="6" t="s">
        <v>207</v>
      </c>
      <c r="G43" s="6" t="s">
        <v>190</v>
      </c>
    </row>
    <row r="44" spans="1:7" ht="18" customHeight="1" x14ac:dyDescent="0.25">
      <c r="A44" s="2">
        <v>41</v>
      </c>
      <c r="B44" s="3" t="s">
        <v>208</v>
      </c>
      <c r="C44" s="3" t="s">
        <v>188</v>
      </c>
      <c r="D44" s="3" t="s">
        <v>189</v>
      </c>
      <c r="E44" s="10" t="s">
        <v>209</v>
      </c>
      <c r="F44" s="3" t="s">
        <v>210</v>
      </c>
      <c r="G44" s="3" t="s">
        <v>190</v>
      </c>
    </row>
    <row r="45" spans="1:7" ht="18" customHeight="1" x14ac:dyDescent="0.25">
      <c r="A45" s="5">
        <v>42</v>
      </c>
      <c r="B45" s="6" t="s">
        <v>211</v>
      </c>
      <c r="C45" s="6" t="s">
        <v>188</v>
      </c>
      <c r="D45" s="6" t="s">
        <v>76</v>
      </c>
      <c r="E45" s="11" t="s">
        <v>209</v>
      </c>
      <c r="F45" s="6" t="s">
        <v>212</v>
      </c>
      <c r="G45" s="6" t="s">
        <v>190</v>
      </c>
    </row>
    <row r="46" spans="1:7" ht="18" customHeight="1" x14ac:dyDescent="0.25">
      <c r="A46" s="2">
        <v>43</v>
      </c>
      <c r="B46" s="3" t="s">
        <v>213</v>
      </c>
      <c r="C46" s="3" t="s">
        <v>214</v>
      </c>
      <c r="D46" s="3" t="s">
        <v>215</v>
      </c>
      <c r="E46" s="10" t="s">
        <v>209</v>
      </c>
      <c r="F46" s="3" t="s">
        <v>216</v>
      </c>
      <c r="G46" s="3" t="s">
        <v>217</v>
      </c>
    </row>
    <row r="47" spans="1:7" ht="18" customHeight="1" x14ac:dyDescent="0.25">
      <c r="A47" s="5">
        <v>44</v>
      </c>
      <c r="B47" s="6" t="s">
        <v>218</v>
      </c>
      <c r="C47" s="6" t="s">
        <v>214</v>
      </c>
      <c r="D47" s="6" t="s">
        <v>219</v>
      </c>
      <c r="E47" s="9" t="s">
        <v>121</v>
      </c>
      <c r="F47" s="6" t="s">
        <v>220</v>
      </c>
      <c r="G47" s="6" t="s">
        <v>217</v>
      </c>
    </row>
    <row r="48" spans="1:7" ht="18" customHeight="1" x14ac:dyDescent="0.25">
      <c r="A48" s="2">
        <v>45</v>
      </c>
      <c r="B48" s="3" t="s">
        <v>221</v>
      </c>
      <c r="C48" s="3" t="s">
        <v>214</v>
      </c>
      <c r="D48" s="3" t="s">
        <v>222</v>
      </c>
      <c r="E48" s="4" t="s">
        <v>104</v>
      </c>
      <c r="F48" s="3" t="s">
        <v>216</v>
      </c>
      <c r="G48" s="3" t="s">
        <v>217</v>
      </c>
    </row>
    <row r="49" spans="1:7" ht="18" customHeight="1" x14ac:dyDescent="0.25">
      <c r="A49" s="5">
        <v>46</v>
      </c>
      <c r="B49" s="6" t="s">
        <v>223</v>
      </c>
      <c r="C49" s="6" t="s">
        <v>214</v>
      </c>
      <c r="D49" s="6" t="s">
        <v>224</v>
      </c>
      <c r="E49" s="11" t="s">
        <v>209</v>
      </c>
      <c r="F49" s="6" t="s">
        <v>216</v>
      </c>
      <c r="G49" s="6" t="s">
        <v>217</v>
      </c>
    </row>
    <row r="50" spans="1:7" ht="18" customHeight="1" x14ac:dyDescent="0.25">
      <c r="A50" s="2">
        <v>47</v>
      </c>
      <c r="B50" s="3" t="s">
        <v>225</v>
      </c>
      <c r="C50" s="3" t="s">
        <v>214</v>
      </c>
      <c r="D50" s="3" t="s">
        <v>226</v>
      </c>
      <c r="E50" s="4" t="s">
        <v>104</v>
      </c>
      <c r="F50" s="3" t="s">
        <v>216</v>
      </c>
      <c r="G50" s="3" t="s">
        <v>217</v>
      </c>
    </row>
    <row r="51" spans="1:7" ht="18" customHeight="1" x14ac:dyDescent="0.25">
      <c r="A51" s="5">
        <v>48</v>
      </c>
      <c r="B51" s="6" t="s">
        <v>227</v>
      </c>
      <c r="C51" s="6" t="s">
        <v>214</v>
      </c>
      <c r="D51" s="6" t="s">
        <v>228</v>
      </c>
      <c r="E51" s="9" t="s">
        <v>121</v>
      </c>
      <c r="F51" s="6" t="s">
        <v>229</v>
      </c>
      <c r="G51" s="6" t="s">
        <v>217</v>
      </c>
    </row>
    <row r="52" spans="1:7" ht="18" customHeight="1" x14ac:dyDescent="0.25">
      <c r="A52" s="2">
        <v>49</v>
      </c>
      <c r="B52" s="3" t="s">
        <v>230</v>
      </c>
      <c r="C52" s="3" t="s">
        <v>214</v>
      </c>
      <c r="D52" s="3" t="s">
        <v>231</v>
      </c>
      <c r="E52" s="8" t="s">
        <v>121</v>
      </c>
      <c r="F52" s="3" t="s">
        <v>216</v>
      </c>
      <c r="G52" s="3" t="s">
        <v>217</v>
      </c>
    </row>
    <row r="53" spans="1:7" ht="18" customHeight="1" x14ac:dyDescent="0.25">
      <c r="A53" s="5">
        <v>50</v>
      </c>
      <c r="B53" s="6" t="s">
        <v>232</v>
      </c>
      <c r="C53" s="6" t="s">
        <v>233</v>
      </c>
      <c r="D53" s="6" t="s">
        <v>234</v>
      </c>
      <c r="E53" s="11" t="s">
        <v>209</v>
      </c>
      <c r="F53" s="6" t="s">
        <v>235</v>
      </c>
      <c r="G53" s="6" t="s">
        <v>236</v>
      </c>
    </row>
    <row r="54" spans="1:7" ht="18" customHeight="1" x14ac:dyDescent="0.25">
      <c r="A54" s="2">
        <v>51</v>
      </c>
      <c r="B54" s="3" t="s">
        <v>237</v>
      </c>
      <c r="C54" s="3" t="s">
        <v>233</v>
      </c>
      <c r="D54" s="3" t="s">
        <v>238</v>
      </c>
      <c r="E54" s="8" t="s">
        <v>121</v>
      </c>
      <c r="F54" s="3" t="s">
        <v>235</v>
      </c>
      <c r="G54" s="3" t="s">
        <v>236</v>
      </c>
    </row>
    <row r="55" spans="1:7" ht="18" customHeight="1" x14ac:dyDescent="0.25">
      <c r="A55" s="5">
        <v>52</v>
      </c>
      <c r="B55" s="6" t="s">
        <v>239</v>
      </c>
      <c r="C55" s="6" t="s">
        <v>233</v>
      </c>
      <c r="D55" s="6" t="s">
        <v>240</v>
      </c>
      <c r="E55" s="7" t="s">
        <v>104</v>
      </c>
      <c r="F55" s="6" t="s">
        <v>241</v>
      </c>
      <c r="G55" s="6" t="s">
        <v>236</v>
      </c>
    </row>
    <row r="56" spans="1:7" ht="18" customHeight="1" x14ac:dyDescent="0.25">
      <c r="A56" s="2">
        <v>53</v>
      </c>
      <c r="B56" s="3" t="s">
        <v>242</v>
      </c>
      <c r="C56" s="3" t="s">
        <v>233</v>
      </c>
      <c r="D56" s="3" t="s">
        <v>243</v>
      </c>
      <c r="E56" s="4" t="s">
        <v>104</v>
      </c>
      <c r="F56" s="3" t="s">
        <v>244</v>
      </c>
      <c r="G56" s="3" t="s">
        <v>236</v>
      </c>
    </row>
    <row r="57" spans="1:7" ht="18" customHeight="1" x14ac:dyDescent="0.25">
      <c r="A57" s="5">
        <v>54</v>
      </c>
      <c r="B57" s="6" t="s">
        <v>245</v>
      </c>
      <c r="C57" s="6" t="s">
        <v>233</v>
      </c>
      <c r="D57" s="6" t="s">
        <v>246</v>
      </c>
      <c r="E57" s="7" t="s">
        <v>104</v>
      </c>
      <c r="F57" s="6" t="s">
        <v>235</v>
      </c>
      <c r="G57" s="6" t="s">
        <v>236</v>
      </c>
    </row>
    <row r="58" spans="1:7" ht="18" customHeight="1" x14ac:dyDescent="0.25">
      <c r="A58" s="2">
        <v>55</v>
      </c>
      <c r="B58" s="3" t="s">
        <v>247</v>
      </c>
      <c r="C58" s="3" t="s">
        <v>233</v>
      </c>
      <c r="D58" s="3" t="s">
        <v>248</v>
      </c>
      <c r="E58" s="8" t="s">
        <v>121</v>
      </c>
      <c r="F58" s="3" t="s">
        <v>249</v>
      </c>
      <c r="G58" s="3" t="s">
        <v>236</v>
      </c>
    </row>
    <row r="59" spans="1:7" ht="18" customHeight="1" x14ac:dyDescent="0.25">
      <c r="A59" s="5">
        <v>56</v>
      </c>
      <c r="B59" s="6" t="s">
        <v>250</v>
      </c>
      <c r="C59" s="6" t="s">
        <v>233</v>
      </c>
      <c r="D59" s="6" t="s">
        <v>251</v>
      </c>
      <c r="E59" s="7" t="s">
        <v>104</v>
      </c>
      <c r="F59" s="6" t="s">
        <v>252</v>
      </c>
      <c r="G59" s="6" t="s">
        <v>236</v>
      </c>
    </row>
    <row r="60" spans="1:7" ht="18" customHeight="1" x14ac:dyDescent="0.25">
      <c r="A60" s="2">
        <v>57</v>
      </c>
      <c r="B60" s="3" t="s">
        <v>253</v>
      </c>
      <c r="C60" s="3" t="s">
        <v>233</v>
      </c>
      <c r="D60" s="3" t="s">
        <v>254</v>
      </c>
      <c r="E60" s="8" t="s">
        <v>121</v>
      </c>
      <c r="F60" s="3" t="s">
        <v>255</v>
      </c>
      <c r="G60" s="3" t="s">
        <v>236</v>
      </c>
    </row>
  </sheetData>
  <mergeCells count="2">
    <mergeCell ref="A2:G2"/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28"/>
  <sheetViews>
    <sheetView showGridLines="0" zoomScaleNormal="100" workbookViewId="0">
      <selection activeCell="P18" sqref="P18"/>
    </sheetView>
  </sheetViews>
  <sheetFormatPr defaultColWidth="8.7109375" defaultRowHeight="15" x14ac:dyDescent="0.25"/>
  <cols>
    <col min="1" max="1" width="4" customWidth="1"/>
    <col min="2" max="2" width="26.7109375" customWidth="1"/>
    <col min="3" max="3" width="20" customWidth="1"/>
    <col min="4" max="4" width="10.140625" customWidth="1"/>
    <col min="5" max="5" width="14.140625" customWidth="1"/>
    <col min="6" max="6" width="12.7109375" customWidth="1"/>
    <col min="7" max="7" width="9" customWidth="1"/>
    <col min="8" max="8" width="8.85546875" customWidth="1"/>
    <col min="9" max="9" width="9.140625" customWidth="1"/>
    <col min="10" max="10" width="18.42578125" customWidth="1"/>
    <col min="11" max="11" width="18.140625" customWidth="1"/>
    <col min="12" max="12" width="32.5703125" customWidth="1"/>
    <col min="13" max="13" width="16" customWidth="1"/>
  </cols>
  <sheetData>
    <row r="1" spans="1:13" ht="36" customHeight="1" x14ac:dyDescent="0.25">
      <c r="A1" s="243" t="s">
        <v>339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</row>
    <row r="2" spans="1:13" ht="18" customHeight="1" x14ac:dyDescent="0.25">
      <c r="A2" s="242" t="s">
        <v>340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</row>
    <row r="3" spans="1:13" ht="30" customHeight="1" x14ac:dyDescent="0.25">
      <c r="A3" s="12" t="s">
        <v>17</v>
      </c>
      <c r="B3" s="12" t="s">
        <v>341</v>
      </c>
      <c r="C3" s="12" t="s">
        <v>342</v>
      </c>
      <c r="D3" s="12" t="s">
        <v>343</v>
      </c>
      <c r="E3" s="12" t="s">
        <v>344</v>
      </c>
      <c r="F3" s="12" t="s">
        <v>345</v>
      </c>
      <c r="G3" s="12" t="s">
        <v>346</v>
      </c>
      <c r="H3" s="12" t="s">
        <v>347</v>
      </c>
      <c r="I3" s="12" t="s">
        <v>348</v>
      </c>
      <c r="J3" s="12" t="s">
        <v>349</v>
      </c>
      <c r="K3" s="12" t="s">
        <v>350</v>
      </c>
      <c r="L3" s="12" t="s">
        <v>351</v>
      </c>
      <c r="M3" s="12" t="s">
        <v>352</v>
      </c>
    </row>
    <row r="4" spans="1:13" ht="18" customHeight="1" x14ac:dyDescent="0.25">
      <c r="A4" s="34">
        <v>1</v>
      </c>
      <c r="B4" s="35" t="s">
        <v>353</v>
      </c>
      <c r="C4" s="35" t="s">
        <v>354</v>
      </c>
      <c r="D4" s="34">
        <v>6</v>
      </c>
      <c r="E4" s="34">
        <v>-45</v>
      </c>
      <c r="F4" s="34" t="s">
        <v>355</v>
      </c>
      <c r="G4" s="34" t="s">
        <v>356</v>
      </c>
      <c r="H4" s="34" t="s">
        <v>357</v>
      </c>
      <c r="I4" s="34" t="s">
        <v>358</v>
      </c>
      <c r="J4" s="35" t="s">
        <v>359</v>
      </c>
      <c r="K4" s="35" t="s">
        <v>360</v>
      </c>
      <c r="L4" s="35" t="s">
        <v>361</v>
      </c>
      <c r="M4" s="35" t="s">
        <v>362</v>
      </c>
    </row>
    <row r="5" spans="1:13" ht="18" customHeight="1" x14ac:dyDescent="0.25">
      <c r="A5" s="36">
        <v>2</v>
      </c>
      <c r="B5" s="6" t="s">
        <v>363</v>
      </c>
      <c r="C5" s="6" t="s">
        <v>364</v>
      </c>
      <c r="D5" s="36">
        <v>11</v>
      </c>
      <c r="E5" s="36">
        <v>-50</v>
      </c>
      <c r="F5" s="36" t="s">
        <v>355</v>
      </c>
      <c r="G5" s="36" t="s">
        <v>365</v>
      </c>
      <c r="H5" s="36" t="s">
        <v>357</v>
      </c>
      <c r="I5" s="36" t="s">
        <v>358</v>
      </c>
      <c r="J5" s="6" t="s">
        <v>366</v>
      </c>
      <c r="K5" s="6" t="s">
        <v>367</v>
      </c>
      <c r="L5" s="6" t="s">
        <v>368</v>
      </c>
      <c r="M5" s="6" t="s">
        <v>362</v>
      </c>
    </row>
    <row r="6" spans="1:13" ht="18" customHeight="1" x14ac:dyDescent="0.25">
      <c r="A6" s="37">
        <v>3</v>
      </c>
      <c r="B6" s="3" t="s">
        <v>369</v>
      </c>
      <c r="C6" s="3" t="s">
        <v>370</v>
      </c>
      <c r="D6" s="37">
        <v>1</v>
      </c>
      <c r="E6" s="37">
        <v>-55</v>
      </c>
      <c r="F6" s="37" t="s">
        <v>355</v>
      </c>
      <c r="G6" s="37" t="s">
        <v>356</v>
      </c>
      <c r="H6" s="37" t="s">
        <v>357</v>
      </c>
      <c r="I6" s="37" t="s">
        <v>358</v>
      </c>
      <c r="J6" s="3" t="s">
        <v>371</v>
      </c>
      <c r="K6" s="3" t="s">
        <v>372</v>
      </c>
      <c r="L6" s="3" t="s">
        <v>373</v>
      </c>
      <c r="M6" s="3" t="s">
        <v>362</v>
      </c>
    </row>
    <row r="7" spans="1:13" ht="18" customHeight="1" x14ac:dyDescent="0.25">
      <c r="A7" s="36">
        <v>4</v>
      </c>
      <c r="B7" s="6" t="s">
        <v>374</v>
      </c>
      <c r="C7" s="6" t="s">
        <v>375</v>
      </c>
      <c r="D7" s="36">
        <v>6</v>
      </c>
      <c r="E7" s="36">
        <v>-52</v>
      </c>
      <c r="F7" s="36" t="s">
        <v>355</v>
      </c>
      <c r="G7" s="36" t="s">
        <v>365</v>
      </c>
      <c r="H7" s="36" t="s">
        <v>212</v>
      </c>
      <c r="I7" s="36" t="s">
        <v>358</v>
      </c>
      <c r="J7" s="6" t="s">
        <v>376</v>
      </c>
      <c r="K7" s="6" t="s">
        <v>377</v>
      </c>
      <c r="L7" s="6" t="s">
        <v>378</v>
      </c>
      <c r="M7" s="6" t="s">
        <v>362</v>
      </c>
    </row>
    <row r="8" spans="1:13" ht="18" customHeight="1" x14ac:dyDescent="0.25">
      <c r="A8" s="37">
        <v>5</v>
      </c>
      <c r="B8" s="3" t="s">
        <v>379</v>
      </c>
      <c r="C8" s="3" t="s">
        <v>380</v>
      </c>
      <c r="D8" s="37">
        <v>11</v>
      </c>
      <c r="E8" s="37">
        <v>-58</v>
      </c>
      <c r="F8" s="37" t="s">
        <v>355</v>
      </c>
      <c r="G8" s="37" t="s">
        <v>356</v>
      </c>
      <c r="H8" s="37" t="s">
        <v>357</v>
      </c>
      <c r="I8" s="37" t="s">
        <v>358</v>
      </c>
      <c r="J8" s="3" t="s">
        <v>359</v>
      </c>
      <c r="K8" s="3" t="s">
        <v>381</v>
      </c>
      <c r="L8" s="3" t="s">
        <v>382</v>
      </c>
      <c r="M8" s="3" t="s">
        <v>362</v>
      </c>
    </row>
    <row r="9" spans="1:13" ht="18" customHeight="1" x14ac:dyDescent="0.25">
      <c r="A9" s="36">
        <v>6</v>
      </c>
      <c r="B9" s="6" t="s">
        <v>383</v>
      </c>
      <c r="C9" s="6" t="s">
        <v>384</v>
      </c>
      <c r="D9" s="36">
        <v>36</v>
      </c>
      <c r="E9" s="36">
        <v>-60</v>
      </c>
      <c r="F9" s="36" t="s">
        <v>355</v>
      </c>
      <c r="G9" s="36" t="s">
        <v>356</v>
      </c>
      <c r="H9" s="36" t="s">
        <v>357</v>
      </c>
      <c r="I9" s="36" t="s">
        <v>358</v>
      </c>
      <c r="J9" s="6" t="s">
        <v>366</v>
      </c>
      <c r="K9" s="6" t="s">
        <v>385</v>
      </c>
      <c r="L9" s="6" t="s">
        <v>386</v>
      </c>
      <c r="M9" s="6" t="s">
        <v>362</v>
      </c>
    </row>
    <row r="10" spans="1:13" ht="18" customHeight="1" x14ac:dyDescent="0.25">
      <c r="A10" s="37">
        <v>7</v>
      </c>
      <c r="B10" s="3" t="s">
        <v>387</v>
      </c>
      <c r="C10" s="3" t="s">
        <v>388</v>
      </c>
      <c r="D10" s="37">
        <v>1</v>
      </c>
      <c r="E10" s="37">
        <v>-62</v>
      </c>
      <c r="F10" s="37" t="s">
        <v>355</v>
      </c>
      <c r="G10" s="37" t="s">
        <v>365</v>
      </c>
      <c r="H10" s="37" t="s">
        <v>357</v>
      </c>
      <c r="I10" s="37" t="s">
        <v>358</v>
      </c>
      <c r="J10" s="3" t="s">
        <v>371</v>
      </c>
      <c r="K10" s="3" t="s">
        <v>389</v>
      </c>
      <c r="L10" s="3" t="s">
        <v>390</v>
      </c>
      <c r="M10" s="3" t="s">
        <v>362</v>
      </c>
    </row>
    <row r="11" spans="1:13" ht="18" customHeight="1" x14ac:dyDescent="0.25">
      <c r="A11" s="36">
        <v>8</v>
      </c>
      <c r="B11" s="6" t="s">
        <v>391</v>
      </c>
      <c r="C11" s="6" t="s">
        <v>392</v>
      </c>
      <c r="D11" s="36">
        <v>6</v>
      </c>
      <c r="E11" s="36">
        <v>-65</v>
      </c>
      <c r="F11" s="36" t="s">
        <v>355</v>
      </c>
      <c r="G11" s="36" t="s">
        <v>356</v>
      </c>
      <c r="H11" s="36" t="s">
        <v>357</v>
      </c>
      <c r="I11" s="36" t="s">
        <v>358</v>
      </c>
      <c r="J11" s="6" t="s">
        <v>366</v>
      </c>
      <c r="K11" s="6" t="s">
        <v>393</v>
      </c>
      <c r="L11" s="6" t="s">
        <v>394</v>
      </c>
      <c r="M11" s="6" t="s">
        <v>362</v>
      </c>
    </row>
    <row r="12" spans="1:13" ht="18" customHeight="1" x14ac:dyDescent="0.25">
      <c r="A12" s="37">
        <v>9</v>
      </c>
      <c r="B12" s="3" t="s">
        <v>395</v>
      </c>
      <c r="C12" s="3" t="s">
        <v>396</v>
      </c>
      <c r="D12" s="37">
        <v>11</v>
      </c>
      <c r="E12" s="37">
        <v>-48</v>
      </c>
      <c r="F12" s="37" t="s">
        <v>122</v>
      </c>
      <c r="G12" s="37" t="s">
        <v>356</v>
      </c>
      <c r="H12" s="37" t="s">
        <v>357</v>
      </c>
      <c r="I12" s="37" t="s">
        <v>397</v>
      </c>
      <c r="J12" s="3" t="s">
        <v>359</v>
      </c>
      <c r="K12" s="3" t="s">
        <v>360</v>
      </c>
      <c r="L12" s="3" t="s">
        <v>398</v>
      </c>
      <c r="M12" s="3" t="s">
        <v>362</v>
      </c>
    </row>
    <row r="13" spans="1:13" ht="18" customHeight="1" x14ac:dyDescent="0.25">
      <c r="A13" s="36">
        <v>10</v>
      </c>
      <c r="B13" s="6" t="s">
        <v>399</v>
      </c>
      <c r="C13" s="6" t="s">
        <v>400</v>
      </c>
      <c r="D13" s="36">
        <v>6</v>
      </c>
      <c r="E13" s="36">
        <v>-55</v>
      </c>
      <c r="F13" s="36" t="s">
        <v>355</v>
      </c>
      <c r="G13" s="36" t="s">
        <v>356</v>
      </c>
      <c r="H13" s="36" t="s">
        <v>357</v>
      </c>
      <c r="I13" s="36" t="s">
        <v>358</v>
      </c>
      <c r="J13" s="6" t="s">
        <v>366</v>
      </c>
      <c r="K13" s="6" t="s">
        <v>372</v>
      </c>
      <c r="L13" s="6" t="s">
        <v>401</v>
      </c>
      <c r="M13" s="6" t="s">
        <v>362</v>
      </c>
    </row>
    <row r="14" spans="1:13" ht="18" customHeight="1" x14ac:dyDescent="0.25">
      <c r="A14" s="37">
        <v>11</v>
      </c>
      <c r="B14" s="3" t="s">
        <v>402</v>
      </c>
      <c r="C14" s="3" t="s">
        <v>403</v>
      </c>
      <c r="D14" s="37">
        <v>1</v>
      </c>
      <c r="E14" s="37">
        <v>-67</v>
      </c>
      <c r="F14" s="37" t="s">
        <v>355</v>
      </c>
      <c r="G14" s="37" t="s">
        <v>365</v>
      </c>
      <c r="H14" s="37" t="s">
        <v>357</v>
      </c>
      <c r="I14" s="37" t="s">
        <v>358</v>
      </c>
      <c r="J14" s="3" t="s">
        <v>371</v>
      </c>
      <c r="K14" s="3" t="s">
        <v>404</v>
      </c>
      <c r="L14" s="3" t="s">
        <v>405</v>
      </c>
      <c r="M14" s="3" t="s">
        <v>362</v>
      </c>
    </row>
    <row r="15" spans="1:13" ht="18" customHeight="1" x14ac:dyDescent="0.25">
      <c r="A15" s="36">
        <v>12</v>
      </c>
      <c r="B15" s="6" t="s">
        <v>406</v>
      </c>
      <c r="C15" s="6" t="s">
        <v>407</v>
      </c>
      <c r="D15" s="36">
        <v>11</v>
      </c>
      <c r="E15" s="36">
        <v>-53</v>
      </c>
      <c r="F15" s="36" t="s">
        <v>355</v>
      </c>
      <c r="G15" s="36" t="s">
        <v>356</v>
      </c>
      <c r="H15" s="36" t="s">
        <v>357</v>
      </c>
      <c r="I15" s="36" t="s">
        <v>358</v>
      </c>
      <c r="J15" s="6" t="s">
        <v>359</v>
      </c>
      <c r="K15" s="6" t="s">
        <v>367</v>
      </c>
      <c r="L15" s="6" t="s">
        <v>408</v>
      </c>
      <c r="M15" s="6" t="s">
        <v>362</v>
      </c>
    </row>
    <row r="16" spans="1:13" ht="18" customHeight="1" x14ac:dyDescent="0.25">
      <c r="A16" s="37">
        <v>13</v>
      </c>
      <c r="B16" s="3" t="s">
        <v>409</v>
      </c>
      <c r="C16" s="3" t="s">
        <v>410</v>
      </c>
      <c r="D16" s="37">
        <v>6</v>
      </c>
      <c r="E16" s="37">
        <v>-55</v>
      </c>
      <c r="F16" s="37" t="s">
        <v>411</v>
      </c>
      <c r="G16" s="37" t="s">
        <v>356</v>
      </c>
      <c r="H16" s="37" t="s">
        <v>412</v>
      </c>
      <c r="I16" s="37" t="s">
        <v>411</v>
      </c>
      <c r="J16" s="3" t="s">
        <v>413</v>
      </c>
      <c r="K16" s="3" t="s">
        <v>360</v>
      </c>
      <c r="L16" s="3" t="s">
        <v>414</v>
      </c>
      <c r="M16" s="3" t="s">
        <v>362</v>
      </c>
    </row>
    <row r="17" spans="1:13" ht="18" customHeight="1" x14ac:dyDescent="0.25">
      <c r="A17" s="36">
        <v>14</v>
      </c>
      <c r="B17" s="6" t="s">
        <v>415</v>
      </c>
      <c r="C17" s="6" t="s">
        <v>416</v>
      </c>
      <c r="D17" s="36">
        <v>11</v>
      </c>
      <c r="E17" s="36">
        <v>-58</v>
      </c>
      <c r="F17" s="36" t="s">
        <v>355</v>
      </c>
      <c r="G17" s="36" t="s">
        <v>365</v>
      </c>
      <c r="H17" s="36" t="s">
        <v>212</v>
      </c>
      <c r="I17" s="36" t="s">
        <v>358</v>
      </c>
      <c r="J17" s="6" t="s">
        <v>359</v>
      </c>
      <c r="K17" s="6" t="s">
        <v>385</v>
      </c>
      <c r="L17" s="6" t="s">
        <v>417</v>
      </c>
      <c r="M17" s="6" t="s">
        <v>362</v>
      </c>
    </row>
    <row r="18" spans="1:13" ht="18" customHeight="1" x14ac:dyDescent="0.25">
      <c r="A18" s="37">
        <v>15</v>
      </c>
      <c r="B18" s="3" t="s">
        <v>418</v>
      </c>
      <c r="C18" s="3" t="s">
        <v>419</v>
      </c>
      <c r="D18" s="37">
        <v>1</v>
      </c>
      <c r="E18" s="37">
        <v>-62</v>
      </c>
      <c r="F18" s="37" t="s">
        <v>411</v>
      </c>
      <c r="G18" s="37" t="s">
        <v>356</v>
      </c>
      <c r="H18" s="37" t="s">
        <v>412</v>
      </c>
      <c r="I18" s="37" t="s">
        <v>411</v>
      </c>
      <c r="J18" s="3" t="s">
        <v>420</v>
      </c>
      <c r="K18" s="3" t="s">
        <v>421</v>
      </c>
      <c r="L18" s="3" t="s">
        <v>422</v>
      </c>
      <c r="M18" s="3" t="s">
        <v>362</v>
      </c>
    </row>
    <row r="19" spans="1:13" ht="18" customHeight="1" x14ac:dyDescent="0.25">
      <c r="A19" s="36">
        <v>16</v>
      </c>
      <c r="B19" s="6" t="s">
        <v>423</v>
      </c>
      <c r="C19" s="6" t="s">
        <v>424</v>
      </c>
      <c r="D19" s="36">
        <v>11</v>
      </c>
      <c r="E19" s="36">
        <v>-65</v>
      </c>
      <c r="F19" s="36" t="s">
        <v>355</v>
      </c>
      <c r="G19" s="36" t="s">
        <v>356</v>
      </c>
      <c r="H19" s="36" t="s">
        <v>357</v>
      </c>
      <c r="I19" s="36" t="s">
        <v>358</v>
      </c>
      <c r="J19" s="6" t="s">
        <v>366</v>
      </c>
      <c r="K19" s="6" t="s">
        <v>425</v>
      </c>
      <c r="L19" s="6" t="s">
        <v>426</v>
      </c>
      <c r="M19" s="6" t="s">
        <v>362</v>
      </c>
    </row>
    <row r="20" spans="1:13" ht="18" customHeight="1" x14ac:dyDescent="0.25">
      <c r="A20" s="37">
        <v>17</v>
      </c>
      <c r="B20" s="3" t="s">
        <v>427</v>
      </c>
      <c r="C20" s="3" t="s">
        <v>428</v>
      </c>
      <c r="D20" s="37">
        <v>6</v>
      </c>
      <c r="E20" s="37">
        <v>-60</v>
      </c>
      <c r="F20" s="37" t="s">
        <v>411</v>
      </c>
      <c r="G20" s="37" t="s">
        <v>356</v>
      </c>
      <c r="H20" s="37" t="s">
        <v>412</v>
      </c>
      <c r="I20" s="37" t="s">
        <v>411</v>
      </c>
      <c r="J20" s="3" t="s">
        <v>420</v>
      </c>
      <c r="K20" s="3" t="s">
        <v>429</v>
      </c>
      <c r="L20" s="3" t="s">
        <v>430</v>
      </c>
      <c r="M20" s="3" t="s">
        <v>362</v>
      </c>
    </row>
    <row r="21" spans="1:13" ht="18" customHeight="1" x14ac:dyDescent="0.25">
      <c r="A21" s="36">
        <v>18</v>
      </c>
      <c r="B21" s="6" t="s">
        <v>431</v>
      </c>
      <c r="C21" s="6" t="s">
        <v>432</v>
      </c>
      <c r="D21" s="36">
        <v>11</v>
      </c>
      <c r="E21" s="36">
        <v>-57</v>
      </c>
      <c r="F21" s="36" t="s">
        <v>355</v>
      </c>
      <c r="G21" s="36" t="s">
        <v>356</v>
      </c>
      <c r="H21" s="36" t="s">
        <v>357</v>
      </c>
      <c r="I21" s="36" t="s">
        <v>358</v>
      </c>
      <c r="J21" s="6" t="s">
        <v>413</v>
      </c>
      <c r="K21" s="6" t="s">
        <v>360</v>
      </c>
      <c r="L21" s="6" t="s">
        <v>433</v>
      </c>
      <c r="M21" s="6" t="s">
        <v>362</v>
      </c>
    </row>
    <row r="22" spans="1:13" ht="18" customHeight="1" x14ac:dyDescent="0.25">
      <c r="A22" s="37">
        <v>19</v>
      </c>
      <c r="B22" s="3" t="s">
        <v>434</v>
      </c>
      <c r="C22" s="3" t="s">
        <v>435</v>
      </c>
      <c r="D22" s="37">
        <v>6</v>
      </c>
      <c r="E22" s="37">
        <v>-50</v>
      </c>
      <c r="F22" s="37" t="s">
        <v>411</v>
      </c>
      <c r="G22" s="37" t="s">
        <v>356</v>
      </c>
      <c r="H22" s="37" t="s">
        <v>412</v>
      </c>
      <c r="I22" s="37" t="s">
        <v>411</v>
      </c>
      <c r="J22" s="3" t="s">
        <v>420</v>
      </c>
      <c r="K22" s="3" t="s">
        <v>436</v>
      </c>
      <c r="L22" s="3" t="s">
        <v>437</v>
      </c>
      <c r="M22" s="3" t="s">
        <v>362</v>
      </c>
    </row>
    <row r="23" spans="1:13" ht="18" customHeight="1" x14ac:dyDescent="0.25">
      <c r="A23" s="36">
        <v>20</v>
      </c>
      <c r="B23" s="6" t="s">
        <v>438</v>
      </c>
      <c r="C23" s="6" t="s">
        <v>439</v>
      </c>
      <c r="D23" s="36">
        <v>1</v>
      </c>
      <c r="E23" s="36">
        <v>-55</v>
      </c>
      <c r="F23" s="36" t="s">
        <v>411</v>
      </c>
      <c r="G23" s="36" t="s">
        <v>356</v>
      </c>
      <c r="H23" s="36" t="s">
        <v>412</v>
      </c>
      <c r="I23" s="36" t="s">
        <v>411</v>
      </c>
      <c r="J23" s="6" t="s">
        <v>413</v>
      </c>
      <c r="K23" s="6" t="s">
        <v>440</v>
      </c>
      <c r="L23" s="6" t="s">
        <v>441</v>
      </c>
      <c r="M23" s="6" t="s">
        <v>362</v>
      </c>
    </row>
    <row r="24" spans="1:13" ht="18" customHeight="1" x14ac:dyDescent="0.25">
      <c r="A24" s="37">
        <v>21</v>
      </c>
      <c r="B24" s="3" t="s">
        <v>442</v>
      </c>
      <c r="C24" s="3" t="s">
        <v>443</v>
      </c>
      <c r="D24" s="37">
        <v>11</v>
      </c>
      <c r="E24" s="37">
        <v>-68</v>
      </c>
      <c r="F24" s="37" t="s">
        <v>355</v>
      </c>
      <c r="G24" s="37" t="s">
        <v>356</v>
      </c>
      <c r="H24" s="37" t="s">
        <v>357</v>
      </c>
      <c r="I24" s="37" t="s">
        <v>358</v>
      </c>
      <c r="J24" s="3" t="s">
        <v>413</v>
      </c>
      <c r="K24" s="3" t="s">
        <v>381</v>
      </c>
      <c r="L24" s="3" t="s">
        <v>444</v>
      </c>
      <c r="M24" s="3" t="s">
        <v>362</v>
      </c>
    </row>
    <row r="25" spans="1:13" ht="18" customHeight="1" x14ac:dyDescent="0.25">
      <c r="A25" s="36">
        <v>22</v>
      </c>
      <c r="B25" s="6" t="s">
        <v>445</v>
      </c>
      <c r="C25" s="6" t="s">
        <v>446</v>
      </c>
      <c r="D25" s="36">
        <v>36</v>
      </c>
      <c r="E25" s="36">
        <v>-63</v>
      </c>
      <c r="F25" s="36" t="s">
        <v>355</v>
      </c>
      <c r="G25" s="36" t="s">
        <v>365</v>
      </c>
      <c r="H25" s="36" t="s">
        <v>357</v>
      </c>
      <c r="I25" s="36" t="s">
        <v>358</v>
      </c>
      <c r="J25" s="6" t="s">
        <v>447</v>
      </c>
      <c r="K25" s="6" t="s">
        <v>372</v>
      </c>
      <c r="L25" s="6" t="s">
        <v>448</v>
      </c>
      <c r="M25" s="6" t="s">
        <v>362</v>
      </c>
    </row>
    <row r="26" spans="1:13" ht="18" customHeight="1" x14ac:dyDescent="0.25">
      <c r="A26" s="37">
        <v>23</v>
      </c>
      <c r="B26" s="3" t="s">
        <v>449</v>
      </c>
      <c r="C26" s="3" t="s">
        <v>450</v>
      </c>
      <c r="D26" s="37">
        <v>6</v>
      </c>
      <c r="E26" s="37">
        <v>-70</v>
      </c>
      <c r="F26" s="37" t="s">
        <v>355</v>
      </c>
      <c r="G26" s="37" t="s">
        <v>365</v>
      </c>
      <c r="H26" s="37" t="s">
        <v>357</v>
      </c>
      <c r="I26" s="37" t="s">
        <v>358</v>
      </c>
      <c r="J26" s="3" t="s">
        <v>447</v>
      </c>
      <c r="K26" s="3" t="s">
        <v>451</v>
      </c>
      <c r="L26" s="3" t="s">
        <v>452</v>
      </c>
      <c r="M26" s="3" t="s">
        <v>362</v>
      </c>
    </row>
    <row r="27" spans="1:13" ht="18" customHeight="1" x14ac:dyDescent="0.25">
      <c r="A27" s="36">
        <v>24</v>
      </c>
      <c r="B27" s="6" t="s">
        <v>453</v>
      </c>
      <c r="C27" s="6" t="s">
        <v>454</v>
      </c>
      <c r="D27" s="36">
        <v>11</v>
      </c>
      <c r="E27" s="36">
        <v>-58</v>
      </c>
      <c r="F27" s="36" t="s">
        <v>411</v>
      </c>
      <c r="G27" s="36" t="s">
        <v>356</v>
      </c>
      <c r="H27" s="36" t="s">
        <v>412</v>
      </c>
      <c r="I27" s="36" t="s">
        <v>411</v>
      </c>
      <c r="J27" s="6" t="s">
        <v>359</v>
      </c>
      <c r="K27" s="6" t="s">
        <v>455</v>
      </c>
      <c r="L27" s="6" t="s">
        <v>456</v>
      </c>
      <c r="M27" s="6" t="s">
        <v>362</v>
      </c>
    </row>
    <row r="28" spans="1:13" ht="18" customHeight="1" x14ac:dyDescent="0.25">
      <c r="A28" s="37">
        <v>25</v>
      </c>
      <c r="B28" s="3" t="s">
        <v>457</v>
      </c>
      <c r="C28" s="3" t="s">
        <v>458</v>
      </c>
      <c r="D28" s="37">
        <v>6</v>
      </c>
      <c r="E28" s="37">
        <v>-70</v>
      </c>
      <c r="F28" s="37" t="s">
        <v>355</v>
      </c>
      <c r="G28" s="37" t="s">
        <v>365</v>
      </c>
      <c r="H28" s="37" t="s">
        <v>357</v>
      </c>
      <c r="I28" s="37" t="s">
        <v>358</v>
      </c>
      <c r="J28" s="3" t="s">
        <v>359</v>
      </c>
      <c r="K28" s="3" t="s">
        <v>459</v>
      </c>
      <c r="L28" s="3" t="s">
        <v>460</v>
      </c>
      <c r="M28" s="3" t="s">
        <v>362</v>
      </c>
    </row>
  </sheetData>
  <mergeCells count="2">
    <mergeCell ref="A2:M2"/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4"/>
  <sheetViews>
    <sheetView showGridLines="0" topLeftCell="C102" zoomScaleNormal="100" workbookViewId="0">
      <selection activeCell="H87" sqref="H87"/>
    </sheetView>
  </sheetViews>
  <sheetFormatPr defaultColWidth="8.7109375" defaultRowHeight="15" x14ac:dyDescent="0.25"/>
  <cols>
    <col min="1" max="1" width="12" style="38" customWidth="1"/>
    <col min="2" max="2" width="26.28515625" style="38" customWidth="1"/>
    <col min="3" max="3" width="22.5703125" style="38" customWidth="1"/>
    <col min="4" max="4" width="17.85546875" style="38" customWidth="1"/>
    <col min="5" max="5" width="14" style="38" customWidth="1"/>
    <col min="6" max="6" width="56.7109375" style="38" customWidth="1"/>
    <col min="7" max="7" width="10" style="38" customWidth="1"/>
    <col min="8" max="8" width="12" style="38" customWidth="1"/>
    <col min="9" max="9" width="11" style="38" customWidth="1"/>
    <col min="10" max="10" width="12" style="38" customWidth="1"/>
    <col min="11" max="11" width="11" style="38" customWidth="1"/>
    <col min="12" max="12" width="12" style="38" customWidth="1"/>
    <col min="13" max="13" width="13" style="38" customWidth="1"/>
    <col min="14" max="14" width="14" style="38" customWidth="1"/>
    <col min="15" max="15" width="39.28515625" style="38" customWidth="1"/>
    <col min="16" max="16" width="8.7109375" style="38" customWidth="1"/>
    <col min="17" max="16384" width="8.7109375" style="38"/>
  </cols>
  <sheetData>
    <row r="1" spans="1:15" ht="36" customHeight="1" x14ac:dyDescent="0.25">
      <c r="A1" s="244" t="s">
        <v>461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6"/>
    </row>
    <row r="2" spans="1:15" ht="18" customHeight="1" x14ac:dyDescent="0.25">
      <c r="A2" s="247" t="s">
        <v>462</v>
      </c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6"/>
    </row>
    <row r="3" spans="1:15" ht="45" customHeight="1" x14ac:dyDescent="0.25">
      <c r="A3" s="39" t="s">
        <v>463</v>
      </c>
      <c r="B3" s="39" t="s">
        <v>464</v>
      </c>
      <c r="C3" s="39" t="s">
        <v>465</v>
      </c>
      <c r="D3" s="39" t="s">
        <v>466</v>
      </c>
      <c r="E3" s="39" t="s">
        <v>467</v>
      </c>
      <c r="F3" s="39" t="s">
        <v>468</v>
      </c>
      <c r="G3" s="39" t="s">
        <v>469</v>
      </c>
      <c r="H3" s="39" t="s">
        <v>470</v>
      </c>
      <c r="I3" s="39" t="s">
        <v>471</v>
      </c>
      <c r="J3" s="39" t="s">
        <v>472</v>
      </c>
      <c r="K3" s="39" t="s">
        <v>473</v>
      </c>
      <c r="L3" s="39" t="s">
        <v>474</v>
      </c>
      <c r="M3" s="39" t="s">
        <v>475</v>
      </c>
      <c r="N3" s="39" t="s">
        <v>476</v>
      </c>
      <c r="O3" s="39" t="s">
        <v>477</v>
      </c>
    </row>
    <row r="4" spans="1:15" ht="27.75" customHeight="1" x14ac:dyDescent="0.25">
      <c r="A4" s="40">
        <v>46143</v>
      </c>
      <c r="B4" s="41" t="s">
        <v>353</v>
      </c>
      <c r="C4" s="41" t="s">
        <v>354</v>
      </c>
      <c r="D4" s="41" t="s">
        <v>478</v>
      </c>
      <c r="E4" s="41" t="s">
        <v>115</v>
      </c>
      <c r="F4" s="41" t="s">
        <v>479</v>
      </c>
      <c r="G4" s="41">
        <v>45</v>
      </c>
      <c r="H4" s="41" t="s">
        <v>480</v>
      </c>
      <c r="I4" s="41" t="s">
        <v>356</v>
      </c>
      <c r="J4" s="41" t="s">
        <v>356</v>
      </c>
      <c r="K4" s="41" t="s">
        <v>356</v>
      </c>
      <c r="L4" s="41" t="s">
        <v>356</v>
      </c>
      <c r="M4" s="41" t="s">
        <v>481</v>
      </c>
      <c r="N4" s="41" t="s">
        <v>412</v>
      </c>
      <c r="O4" s="41" t="s">
        <v>482</v>
      </c>
    </row>
    <row r="5" spans="1:15" ht="27.75" customHeight="1" x14ac:dyDescent="0.25">
      <c r="A5" s="40">
        <v>46143</v>
      </c>
      <c r="B5" s="41" t="s">
        <v>353</v>
      </c>
      <c r="C5" s="41" t="s">
        <v>354</v>
      </c>
      <c r="D5" s="41" t="s">
        <v>483</v>
      </c>
      <c r="E5" s="41" t="s">
        <v>484</v>
      </c>
      <c r="F5" s="41" t="s">
        <v>485</v>
      </c>
      <c r="G5" s="41">
        <v>20</v>
      </c>
      <c r="H5" s="41" t="s">
        <v>36</v>
      </c>
      <c r="I5" s="41" t="s">
        <v>356</v>
      </c>
      <c r="J5" s="41" t="s">
        <v>365</v>
      </c>
      <c r="K5" s="41" t="s">
        <v>356</v>
      </c>
      <c r="L5" s="41" t="s">
        <v>356</v>
      </c>
      <c r="M5" s="41" t="s">
        <v>481</v>
      </c>
      <c r="N5" s="41" t="s">
        <v>104</v>
      </c>
      <c r="O5" s="41" t="s">
        <v>486</v>
      </c>
    </row>
    <row r="6" spans="1:15" ht="27.75" customHeight="1" x14ac:dyDescent="0.25">
      <c r="A6" s="40">
        <v>46143</v>
      </c>
      <c r="B6" s="41" t="s">
        <v>353</v>
      </c>
      <c r="C6" s="41" t="s">
        <v>354</v>
      </c>
      <c r="D6" s="41" t="s">
        <v>47</v>
      </c>
      <c r="E6" s="41" t="s">
        <v>487</v>
      </c>
      <c r="F6" s="41" t="s">
        <v>488</v>
      </c>
      <c r="G6" s="41">
        <v>10</v>
      </c>
      <c r="H6" s="41" t="s">
        <v>480</v>
      </c>
      <c r="I6" s="41" t="s">
        <v>356</v>
      </c>
      <c r="J6" s="41" t="s">
        <v>356</v>
      </c>
      <c r="K6" s="41" t="s">
        <v>356</v>
      </c>
      <c r="L6" s="41" t="s">
        <v>356</v>
      </c>
      <c r="M6" s="41" t="s">
        <v>481</v>
      </c>
      <c r="N6" s="41" t="s">
        <v>412</v>
      </c>
      <c r="O6" s="41" t="s">
        <v>482</v>
      </c>
    </row>
    <row r="7" spans="1:15" ht="27.75" customHeight="1" x14ac:dyDescent="0.25">
      <c r="A7" s="40">
        <v>46143</v>
      </c>
      <c r="B7" s="41" t="s">
        <v>353</v>
      </c>
      <c r="C7" s="41" t="s">
        <v>354</v>
      </c>
      <c r="D7" s="41" t="s">
        <v>489</v>
      </c>
      <c r="E7" s="41" t="s">
        <v>189</v>
      </c>
      <c r="F7" s="41" t="s">
        <v>490</v>
      </c>
      <c r="G7" s="41">
        <v>15</v>
      </c>
      <c r="H7" s="41" t="s">
        <v>36</v>
      </c>
      <c r="I7" s="41" t="s">
        <v>356</v>
      </c>
      <c r="J7" s="41" t="s">
        <v>356</v>
      </c>
      <c r="K7" s="41" t="s">
        <v>356</v>
      </c>
      <c r="L7" s="41" t="s">
        <v>356</v>
      </c>
      <c r="M7" s="41" t="s">
        <v>365</v>
      </c>
      <c r="N7" s="41" t="s">
        <v>104</v>
      </c>
      <c r="O7" s="41" t="s">
        <v>491</v>
      </c>
    </row>
    <row r="8" spans="1:15" ht="27.75" customHeight="1" x14ac:dyDescent="0.25">
      <c r="A8" s="40">
        <v>46143</v>
      </c>
      <c r="B8" s="41" t="s">
        <v>353</v>
      </c>
      <c r="C8" s="41" t="s">
        <v>354</v>
      </c>
      <c r="D8" s="41" t="s">
        <v>191</v>
      </c>
      <c r="E8" s="41" t="s">
        <v>189</v>
      </c>
      <c r="F8" s="41" t="s">
        <v>492</v>
      </c>
      <c r="G8" s="41">
        <v>8</v>
      </c>
      <c r="H8" s="41" t="s">
        <v>480</v>
      </c>
      <c r="I8" s="41" t="s">
        <v>356</v>
      </c>
      <c r="J8" s="41" t="s">
        <v>356</v>
      </c>
      <c r="K8" s="41" t="s">
        <v>356</v>
      </c>
      <c r="L8" s="41" t="s">
        <v>356</v>
      </c>
      <c r="M8" s="41" t="s">
        <v>356</v>
      </c>
      <c r="N8" s="41" t="s">
        <v>412</v>
      </c>
      <c r="O8" s="41" t="s">
        <v>482</v>
      </c>
    </row>
    <row r="9" spans="1:15" ht="27.75" customHeight="1" x14ac:dyDescent="0.25">
      <c r="A9" s="40">
        <v>46143</v>
      </c>
      <c r="B9" s="41" t="s">
        <v>353</v>
      </c>
      <c r="C9" s="41" t="s">
        <v>354</v>
      </c>
      <c r="D9" s="41" t="s">
        <v>493</v>
      </c>
      <c r="E9" s="41" t="s">
        <v>76</v>
      </c>
      <c r="F9" s="41" t="s">
        <v>494</v>
      </c>
      <c r="G9" s="41">
        <v>5</v>
      </c>
      <c r="H9" s="41" t="s">
        <v>36</v>
      </c>
      <c r="I9" s="41" t="s">
        <v>356</v>
      </c>
      <c r="J9" s="41" t="s">
        <v>356</v>
      </c>
      <c r="K9" s="41" t="s">
        <v>356</v>
      </c>
      <c r="L9" s="41" t="s">
        <v>356</v>
      </c>
      <c r="M9" s="41" t="s">
        <v>356</v>
      </c>
      <c r="N9" s="41" t="s">
        <v>209</v>
      </c>
      <c r="O9" s="41" t="s">
        <v>495</v>
      </c>
    </row>
    <row r="10" spans="1:15" ht="27.75" customHeight="1" x14ac:dyDescent="0.25">
      <c r="A10" s="40">
        <v>46144</v>
      </c>
      <c r="B10" s="41" t="s">
        <v>363</v>
      </c>
      <c r="C10" s="41" t="s">
        <v>364</v>
      </c>
      <c r="D10" s="41" t="s">
        <v>478</v>
      </c>
      <c r="E10" s="41" t="s">
        <v>115</v>
      </c>
      <c r="F10" s="41" t="s">
        <v>496</v>
      </c>
      <c r="G10" s="41">
        <v>45</v>
      </c>
      <c r="H10" s="41" t="s">
        <v>36</v>
      </c>
      <c r="I10" s="41" t="s">
        <v>356</v>
      </c>
      <c r="J10" s="41" t="s">
        <v>356</v>
      </c>
      <c r="K10" s="41" t="s">
        <v>365</v>
      </c>
      <c r="L10" s="41" t="s">
        <v>356</v>
      </c>
      <c r="M10" s="41" t="s">
        <v>481</v>
      </c>
      <c r="N10" s="41" t="s">
        <v>104</v>
      </c>
      <c r="O10" s="41" t="s">
        <v>497</v>
      </c>
    </row>
    <row r="11" spans="1:15" ht="27.75" customHeight="1" x14ac:dyDescent="0.25">
      <c r="A11" s="40">
        <v>46144</v>
      </c>
      <c r="B11" s="41" t="s">
        <v>363</v>
      </c>
      <c r="C11" s="41" t="s">
        <v>364</v>
      </c>
      <c r="D11" s="41" t="s">
        <v>483</v>
      </c>
      <c r="E11" s="41" t="s">
        <v>484</v>
      </c>
      <c r="F11" s="41" t="s">
        <v>498</v>
      </c>
      <c r="G11" s="41">
        <v>20</v>
      </c>
      <c r="H11" s="41" t="s">
        <v>36</v>
      </c>
      <c r="I11" s="41" t="s">
        <v>365</v>
      </c>
      <c r="J11" s="41" t="s">
        <v>365</v>
      </c>
      <c r="K11" s="41" t="s">
        <v>356</v>
      </c>
      <c r="L11" s="41" t="s">
        <v>356</v>
      </c>
      <c r="M11" s="41" t="s">
        <v>481</v>
      </c>
      <c r="N11" s="41" t="s">
        <v>104</v>
      </c>
      <c r="O11" s="41" t="s">
        <v>486</v>
      </c>
    </row>
    <row r="12" spans="1:15" ht="15" customHeight="1" x14ac:dyDescent="0.25">
      <c r="A12" s="42">
        <v>46144</v>
      </c>
      <c r="B12" s="42" t="s">
        <v>363</v>
      </c>
      <c r="C12" s="42" t="s">
        <v>364</v>
      </c>
      <c r="D12" s="42" t="s">
        <v>47</v>
      </c>
      <c r="E12" s="42" t="s">
        <v>487</v>
      </c>
      <c r="F12" s="42" t="s">
        <v>488</v>
      </c>
      <c r="G12" s="42">
        <v>10</v>
      </c>
      <c r="H12" s="42" t="s">
        <v>36</v>
      </c>
      <c r="I12" s="42" t="s">
        <v>356</v>
      </c>
      <c r="J12" s="42" t="s">
        <v>356</v>
      </c>
      <c r="K12" s="42" t="s">
        <v>356</v>
      </c>
      <c r="L12" s="42" t="s">
        <v>365</v>
      </c>
      <c r="M12" s="42" t="s">
        <v>481</v>
      </c>
      <c r="N12" s="42" t="s">
        <v>104</v>
      </c>
      <c r="O12" s="42" t="s">
        <v>499</v>
      </c>
    </row>
    <row r="13" spans="1:15" ht="15" customHeight="1" x14ac:dyDescent="0.25">
      <c r="A13" s="42">
        <v>46144</v>
      </c>
      <c r="B13" s="42" t="s">
        <v>363</v>
      </c>
      <c r="C13" s="42" t="s">
        <v>364</v>
      </c>
      <c r="D13" s="42" t="s">
        <v>489</v>
      </c>
      <c r="E13" s="42" t="s">
        <v>189</v>
      </c>
      <c r="F13" s="42" t="s">
        <v>500</v>
      </c>
      <c r="G13" s="42">
        <v>15</v>
      </c>
      <c r="H13" s="42" t="s">
        <v>36</v>
      </c>
      <c r="I13" s="42" t="s">
        <v>356</v>
      </c>
      <c r="J13" s="42" t="s">
        <v>356</v>
      </c>
      <c r="K13" s="42" t="s">
        <v>356</v>
      </c>
      <c r="L13" s="42" t="s">
        <v>356</v>
      </c>
      <c r="M13" s="42" t="s">
        <v>365</v>
      </c>
      <c r="N13" s="42" t="s">
        <v>104</v>
      </c>
      <c r="O13" s="42" t="s">
        <v>491</v>
      </c>
    </row>
    <row r="14" spans="1:15" ht="15" customHeight="1" x14ac:dyDescent="0.25">
      <c r="A14" s="42">
        <v>46144</v>
      </c>
      <c r="B14" s="42" t="s">
        <v>363</v>
      </c>
      <c r="C14" s="42" t="s">
        <v>364</v>
      </c>
      <c r="D14" s="42" t="s">
        <v>191</v>
      </c>
      <c r="E14" s="42" t="s">
        <v>189</v>
      </c>
      <c r="F14" s="42" t="s">
        <v>501</v>
      </c>
      <c r="G14" s="42">
        <v>8</v>
      </c>
      <c r="H14" s="42" t="s">
        <v>36</v>
      </c>
      <c r="I14" s="42" t="s">
        <v>356</v>
      </c>
      <c r="J14" s="42" t="s">
        <v>356</v>
      </c>
      <c r="K14" s="42" t="s">
        <v>356</v>
      </c>
      <c r="L14" s="42" t="s">
        <v>356</v>
      </c>
      <c r="M14" s="42" t="s">
        <v>356</v>
      </c>
      <c r="N14" s="42" t="s">
        <v>121</v>
      </c>
      <c r="O14" s="42" t="s">
        <v>502</v>
      </c>
    </row>
    <row r="15" spans="1:15" ht="15" customHeight="1" x14ac:dyDescent="0.25">
      <c r="A15" s="42">
        <v>46144</v>
      </c>
      <c r="B15" s="42" t="s">
        <v>363</v>
      </c>
      <c r="C15" s="42" t="s">
        <v>364</v>
      </c>
      <c r="D15" s="42" t="s">
        <v>493</v>
      </c>
      <c r="E15" s="42" t="s">
        <v>76</v>
      </c>
      <c r="F15" s="42" t="s">
        <v>494</v>
      </c>
      <c r="G15" s="42">
        <v>5</v>
      </c>
      <c r="H15" s="42" t="s">
        <v>480</v>
      </c>
      <c r="I15" s="42" t="s">
        <v>356</v>
      </c>
      <c r="J15" s="42" t="s">
        <v>356</v>
      </c>
      <c r="K15" s="42" t="s">
        <v>356</v>
      </c>
      <c r="L15" s="42" t="s">
        <v>356</v>
      </c>
      <c r="M15" s="42" t="s">
        <v>356</v>
      </c>
      <c r="N15" s="42" t="s">
        <v>412</v>
      </c>
      <c r="O15" s="42" t="s">
        <v>482</v>
      </c>
    </row>
    <row r="16" spans="1:15" ht="15" customHeight="1" x14ac:dyDescent="0.25">
      <c r="A16" s="42">
        <v>46145</v>
      </c>
      <c r="B16" s="42" t="s">
        <v>369</v>
      </c>
      <c r="C16" s="42" t="s">
        <v>370</v>
      </c>
      <c r="D16" s="42" t="s">
        <v>478</v>
      </c>
      <c r="E16" s="42" t="s">
        <v>115</v>
      </c>
      <c r="F16" s="42" t="s">
        <v>503</v>
      </c>
      <c r="G16" s="42">
        <v>45</v>
      </c>
      <c r="H16" s="42" t="s">
        <v>480</v>
      </c>
      <c r="I16" s="42" t="s">
        <v>356</v>
      </c>
      <c r="J16" s="42" t="s">
        <v>356</v>
      </c>
      <c r="K16" s="42" t="s">
        <v>356</v>
      </c>
      <c r="L16" s="42" t="s">
        <v>356</v>
      </c>
      <c r="M16" s="42" t="s">
        <v>481</v>
      </c>
      <c r="N16" s="42" t="s">
        <v>412</v>
      </c>
      <c r="O16" s="42" t="s">
        <v>482</v>
      </c>
    </row>
    <row r="17" spans="1:15" ht="15" customHeight="1" x14ac:dyDescent="0.25">
      <c r="A17" s="42">
        <v>46145</v>
      </c>
      <c r="B17" s="42" t="s">
        <v>369</v>
      </c>
      <c r="C17" s="42" t="s">
        <v>370</v>
      </c>
      <c r="D17" s="42" t="s">
        <v>483</v>
      </c>
      <c r="E17" s="42" t="s">
        <v>484</v>
      </c>
      <c r="F17" s="42" t="s">
        <v>504</v>
      </c>
      <c r="G17" s="42">
        <v>20</v>
      </c>
      <c r="H17" s="42" t="s">
        <v>36</v>
      </c>
      <c r="I17" s="42" t="s">
        <v>356</v>
      </c>
      <c r="J17" s="42" t="s">
        <v>365</v>
      </c>
      <c r="K17" s="42" t="s">
        <v>356</v>
      </c>
      <c r="L17" s="42" t="s">
        <v>356</v>
      </c>
      <c r="M17" s="42" t="s">
        <v>481</v>
      </c>
      <c r="N17" s="42" t="s">
        <v>104</v>
      </c>
      <c r="O17" s="42" t="s">
        <v>486</v>
      </c>
    </row>
    <row r="18" spans="1:15" ht="15" customHeight="1" x14ac:dyDescent="0.25">
      <c r="A18" s="42">
        <v>46145</v>
      </c>
      <c r="B18" s="42" t="s">
        <v>369</v>
      </c>
      <c r="C18" s="42" t="s">
        <v>370</v>
      </c>
      <c r="D18" s="42" t="s">
        <v>47</v>
      </c>
      <c r="E18" s="42" t="s">
        <v>487</v>
      </c>
      <c r="F18" s="42" t="s">
        <v>488</v>
      </c>
      <c r="G18" s="42">
        <v>10</v>
      </c>
      <c r="H18" s="42" t="s">
        <v>36</v>
      </c>
      <c r="I18" s="42" t="s">
        <v>356</v>
      </c>
      <c r="J18" s="42" t="s">
        <v>356</v>
      </c>
      <c r="K18" s="42" t="s">
        <v>356</v>
      </c>
      <c r="L18" s="42" t="s">
        <v>365</v>
      </c>
      <c r="M18" s="42" t="s">
        <v>481</v>
      </c>
      <c r="N18" s="42" t="s">
        <v>104</v>
      </c>
      <c r="O18" s="42" t="s">
        <v>499</v>
      </c>
    </row>
    <row r="19" spans="1:15" ht="15" customHeight="1" x14ac:dyDescent="0.25">
      <c r="A19" s="42">
        <v>46145</v>
      </c>
      <c r="B19" s="42" t="s">
        <v>369</v>
      </c>
      <c r="C19" s="42" t="s">
        <v>370</v>
      </c>
      <c r="D19" s="42" t="s">
        <v>489</v>
      </c>
      <c r="E19" s="42" t="s">
        <v>189</v>
      </c>
      <c r="F19" s="42" t="s">
        <v>505</v>
      </c>
      <c r="G19" s="42">
        <v>15</v>
      </c>
      <c r="H19" s="42" t="s">
        <v>36</v>
      </c>
      <c r="I19" s="42" t="s">
        <v>356</v>
      </c>
      <c r="J19" s="42" t="s">
        <v>356</v>
      </c>
      <c r="K19" s="42" t="s">
        <v>356</v>
      </c>
      <c r="L19" s="42" t="s">
        <v>356</v>
      </c>
      <c r="M19" s="42" t="s">
        <v>365</v>
      </c>
      <c r="N19" s="42" t="s">
        <v>104</v>
      </c>
      <c r="O19" s="42" t="s">
        <v>491</v>
      </c>
    </row>
    <row r="20" spans="1:15" ht="15" customHeight="1" x14ac:dyDescent="0.25">
      <c r="A20" s="42">
        <v>46145</v>
      </c>
      <c r="B20" s="42" t="s">
        <v>369</v>
      </c>
      <c r="C20" s="42" t="s">
        <v>370</v>
      </c>
      <c r="D20" s="42" t="s">
        <v>191</v>
      </c>
      <c r="E20" s="42" t="s">
        <v>189</v>
      </c>
      <c r="F20" s="42" t="s">
        <v>506</v>
      </c>
      <c r="G20" s="42">
        <v>8</v>
      </c>
      <c r="H20" s="42" t="s">
        <v>36</v>
      </c>
      <c r="I20" s="42" t="s">
        <v>356</v>
      </c>
      <c r="J20" s="42" t="s">
        <v>356</v>
      </c>
      <c r="K20" s="42" t="s">
        <v>356</v>
      </c>
      <c r="L20" s="42" t="s">
        <v>356</v>
      </c>
      <c r="M20" s="42" t="s">
        <v>356</v>
      </c>
      <c r="N20" s="42" t="s">
        <v>121</v>
      </c>
      <c r="O20" s="42" t="s">
        <v>502</v>
      </c>
    </row>
    <row r="21" spans="1:15" ht="15" customHeight="1" x14ac:dyDescent="0.25">
      <c r="A21" s="42">
        <v>46145</v>
      </c>
      <c r="B21" s="42" t="s">
        <v>369</v>
      </c>
      <c r="C21" s="42" t="s">
        <v>370</v>
      </c>
      <c r="D21" s="42" t="s">
        <v>493</v>
      </c>
      <c r="E21" s="42" t="s">
        <v>76</v>
      </c>
      <c r="F21" s="42" t="s">
        <v>494</v>
      </c>
      <c r="G21" s="42">
        <v>5</v>
      </c>
      <c r="H21" s="42" t="s">
        <v>480</v>
      </c>
      <c r="I21" s="42" t="s">
        <v>356</v>
      </c>
      <c r="J21" s="42" t="s">
        <v>356</v>
      </c>
      <c r="K21" s="42" t="s">
        <v>356</v>
      </c>
      <c r="L21" s="42" t="s">
        <v>356</v>
      </c>
      <c r="M21" s="42" t="s">
        <v>356</v>
      </c>
      <c r="N21" s="42" t="s">
        <v>412</v>
      </c>
      <c r="O21" s="42" t="s">
        <v>482</v>
      </c>
    </row>
    <row r="22" spans="1:15" ht="15" customHeight="1" x14ac:dyDescent="0.25">
      <c r="A22" s="42">
        <v>46146</v>
      </c>
      <c r="B22" s="42" t="s">
        <v>374</v>
      </c>
      <c r="C22" s="42" t="s">
        <v>375</v>
      </c>
      <c r="D22" s="42" t="s">
        <v>478</v>
      </c>
      <c r="E22" s="42" t="s">
        <v>115</v>
      </c>
      <c r="F22" s="42" t="s">
        <v>507</v>
      </c>
      <c r="G22" s="42">
        <v>45</v>
      </c>
      <c r="H22" s="42" t="s">
        <v>36</v>
      </c>
      <c r="I22" s="42" t="s">
        <v>356</v>
      </c>
      <c r="J22" s="42" t="s">
        <v>356</v>
      </c>
      <c r="K22" s="42" t="s">
        <v>365</v>
      </c>
      <c r="L22" s="42" t="s">
        <v>356</v>
      </c>
      <c r="M22" s="42" t="s">
        <v>481</v>
      </c>
      <c r="N22" s="42" t="s">
        <v>104</v>
      </c>
      <c r="O22" s="42" t="s">
        <v>497</v>
      </c>
    </row>
    <row r="23" spans="1:15" ht="15" customHeight="1" x14ac:dyDescent="0.25">
      <c r="A23" s="42">
        <v>46146</v>
      </c>
      <c r="B23" s="42" t="s">
        <v>374</v>
      </c>
      <c r="C23" s="42" t="s">
        <v>375</v>
      </c>
      <c r="D23" s="42" t="s">
        <v>483</v>
      </c>
      <c r="E23" s="42" t="s">
        <v>484</v>
      </c>
      <c r="F23" s="42" t="s">
        <v>508</v>
      </c>
      <c r="G23" s="42">
        <v>20</v>
      </c>
      <c r="H23" s="42" t="s">
        <v>36</v>
      </c>
      <c r="I23" s="42" t="s">
        <v>365</v>
      </c>
      <c r="J23" s="42" t="s">
        <v>365</v>
      </c>
      <c r="K23" s="42" t="s">
        <v>356</v>
      </c>
      <c r="L23" s="42" t="s">
        <v>356</v>
      </c>
      <c r="M23" s="42" t="s">
        <v>481</v>
      </c>
      <c r="N23" s="42" t="s">
        <v>104</v>
      </c>
      <c r="O23" s="42" t="s">
        <v>486</v>
      </c>
    </row>
    <row r="24" spans="1:15" ht="15" customHeight="1" x14ac:dyDescent="0.25">
      <c r="A24" s="42">
        <v>46146</v>
      </c>
      <c r="B24" s="42" t="s">
        <v>374</v>
      </c>
      <c r="C24" s="42" t="s">
        <v>375</v>
      </c>
      <c r="D24" s="42" t="s">
        <v>47</v>
      </c>
      <c r="E24" s="42" t="s">
        <v>487</v>
      </c>
      <c r="F24" s="42" t="s">
        <v>488</v>
      </c>
      <c r="G24" s="42">
        <v>10</v>
      </c>
      <c r="H24" s="42" t="s">
        <v>480</v>
      </c>
      <c r="I24" s="42" t="s">
        <v>356</v>
      </c>
      <c r="J24" s="42" t="s">
        <v>356</v>
      </c>
      <c r="K24" s="42" t="s">
        <v>356</v>
      </c>
      <c r="L24" s="42" t="s">
        <v>356</v>
      </c>
      <c r="M24" s="42" t="s">
        <v>481</v>
      </c>
      <c r="N24" s="42" t="s">
        <v>412</v>
      </c>
      <c r="O24" s="42" t="s">
        <v>482</v>
      </c>
    </row>
    <row r="25" spans="1:15" ht="15" customHeight="1" x14ac:dyDescent="0.25">
      <c r="A25" s="42">
        <v>46146</v>
      </c>
      <c r="B25" s="42" t="s">
        <v>374</v>
      </c>
      <c r="C25" s="42" t="s">
        <v>375</v>
      </c>
      <c r="D25" s="42" t="s">
        <v>489</v>
      </c>
      <c r="E25" s="42" t="s">
        <v>189</v>
      </c>
      <c r="F25" s="42" t="s">
        <v>509</v>
      </c>
      <c r="G25" s="42">
        <v>15</v>
      </c>
      <c r="H25" s="42" t="s">
        <v>36</v>
      </c>
      <c r="I25" s="42" t="s">
        <v>356</v>
      </c>
      <c r="J25" s="42" t="s">
        <v>356</v>
      </c>
      <c r="K25" s="42" t="s">
        <v>356</v>
      </c>
      <c r="L25" s="42" t="s">
        <v>356</v>
      </c>
      <c r="M25" s="42" t="s">
        <v>365</v>
      </c>
      <c r="N25" s="42" t="s">
        <v>104</v>
      </c>
      <c r="O25" s="42" t="s">
        <v>491</v>
      </c>
    </row>
    <row r="26" spans="1:15" ht="15" customHeight="1" x14ac:dyDescent="0.25">
      <c r="A26" s="42">
        <v>46146</v>
      </c>
      <c r="B26" s="42" t="s">
        <v>374</v>
      </c>
      <c r="C26" s="42" t="s">
        <v>375</v>
      </c>
      <c r="D26" s="42" t="s">
        <v>191</v>
      </c>
      <c r="E26" s="42" t="s">
        <v>189</v>
      </c>
      <c r="F26" s="42" t="s">
        <v>510</v>
      </c>
      <c r="G26" s="42">
        <v>8</v>
      </c>
      <c r="H26" s="42" t="s">
        <v>36</v>
      </c>
      <c r="I26" s="42" t="s">
        <v>356</v>
      </c>
      <c r="J26" s="42" t="s">
        <v>356</v>
      </c>
      <c r="K26" s="42" t="s">
        <v>356</v>
      </c>
      <c r="L26" s="42" t="s">
        <v>356</v>
      </c>
      <c r="M26" s="42" t="s">
        <v>356</v>
      </c>
      <c r="N26" s="42" t="s">
        <v>121</v>
      </c>
      <c r="O26" s="42" t="s">
        <v>502</v>
      </c>
    </row>
    <row r="27" spans="1:15" ht="15" customHeight="1" x14ac:dyDescent="0.25">
      <c r="A27" s="42">
        <v>46146</v>
      </c>
      <c r="B27" s="42" t="s">
        <v>374</v>
      </c>
      <c r="C27" s="42" t="s">
        <v>375</v>
      </c>
      <c r="D27" s="42" t="s">
        <v>493</v>
      </c>
      <c r="E27" s="42" t="s">
        <v>76</v>
      </c>
      <c r="F27" s="42" t="s">
        <v>494</v>
      </c>
      <c r="G27" s="42">
        <v>5</v>
      </c>
      <c r="H27" s="42" t="s">
        <v>36</v>
      </c>
      <c r="I27" s="42" t="s">
        <v>356</v>
      </c>
      <c r="J27" s="42" t="s">
        <v>356</v>
      </c>
      <c r="K27" s="42" t="s">
        <v>356</v>
      </c>
      <c r="L27" s="42" t="s">
        <v>356</v>
      </c>
      <c r="M27" s="42" t="s">
        <v>356</v>
      </c>
      <c r="N27" s="42" t="s">
        <v>209</v>
      </c>
      <c r="O27" s="42" t="s">
        <v>495</v>
      </c>
    </row>
    <row r="28" spans="1:15" ht="15" customHeight="1" x14ac:dyDescent="0.25">
      <c r="A28" s="42">
        <v>46147</v>
      </c>
      <c r="B28" s="42" t="s">
        <v>379</v>
      </c>
      <c r="C28" s="42" t="s">
        <v>380</v>
      </c>
      <c r="D28" s="42" t="s">
        <v>478</v>
      </c>
      <c r="E28" s="42" t="s">
        <v>115</v>
      </c>
      <c r="F28" s="42" t="s">
        <v>511</v>
      </c>
      <c r="G28" s="42">
        <v>45</v>
      </c>
      <c r="H28" s="42" t="s">
        <v>480</v>
      </c>
      <c r="I28" s="42" t="s">
        <v>356</v>
      </c>
      <c r="J28" s="42" t="s">
        <v>356</v>
      </c>
      <c r="K28" s="42" t="s">
        <v>356</v>
      </c>
      <c r="L28" s="42" t="s">
        <v>356</v>
      </c>
      <c r="M28" s="42" t="s">
        <v>481</v>
      </c>
      <c r="N28" s="42" t="s">
        <v>412</v>
      </c>
      <c r="O28" s="42" t="s">
        <v>482</v>
      </c>
    </row>
    <row r="29" spans="1:15" ht="15" customHeight="1" x14ac:dyDescent="0.25">
      <c r="A29" s="42">
        <v>46147</v>
      </c>
      <c r="B29" s="42" t="s">
        <v>379</v>
      </c>
      <c r="C29" s="42" t="s">
        <v>380</v>
      </c>
      <c r="D29" s="42" t="s">
        <v>483</v>
      </c>
      <c r="E29" s="42" t="s">
        <v>484</v>
      </c>
      <c r="F29" s="42" t="s">
        <v>512</v>
      </c>
      <c r="G29" s="42">
        <v>20</v>
      </c>
      <c r="H29" s="42" t="s">
        <v>480</v>
      </c>
      <c r="I29" s="42" t="s">
        <v>356</v>
      </c>
      <c r="J29" s="42" t="s">
        <v>356</v>
      </c>
      <c r="K29" s="42" t="s">
        <v>356</v>
      </c>
      <c r="L29" s="42" t="s">
        <v>356</v>
      </c>
      <c r="M29" s="42" t="s">
        <v>481</v>
      </c>
      <c r="N29" s="42" t="s">
        <v>412</v>
      </c>
      <c r="O29" s="42" t="s">
        <v>482</v>
      </c>
    </row>
    <row r="30" spans="1:15" ht="15" customHeight="1" x14ac:dyDescent="0.25">
      <c r="A30" s="42">
        <v>46147</v>
      </c>
      <c r="B30" s="42" t="s">
        <v>379</v>
      </c>
      <c r="C30" s="42" t="s">
        <v>380</v>
      </c>
      <c r="D30" s="42" t="s">
        <v>47</v>
      </c>
      <c r="E30" s="42" t="s">
        <v>487</v>
      </c>
      <c r="F30" s="42" t="s">
        <v>488</v>
      </c>
      <c r="G30" s="42">
        <v>10</v>
      </c>
      <c r="H30" s="42" t="s">
        <v>480</v>
      </c>
      <c r="I30" s="42" t="s">
        <v>356</v>
      </c>
      <c r="J30" s="42" t="s">
        <v>356</v>
      </c>
      <c r="K30" s="42" t="s">
        <v>356</v>
      </c>
      <c r="L30" s="42" t="s">
        <v>356</v>
      </c>
      <c r="M30" s="42" t="s">
        <v>481</v>
      </c>
      <c r="N30" s="42" t="s">
        <v>412</v>
      </c>
      <c r="O30" s="42" t="s">
        <v>482</v>
      </c>
    </row>
    <row r="31" spans="1:15" ht="15" customHeight="1" x14ac:dyDescent="0.25">
      <c r="A31" s="42">
        <v>46147</v>
      </c>
      <c r="B31" s="42" t="s">
        <v>379</v>
      </c>
      <c r="C31" s="42" t="s">
        <v>380</v>
      </c>
      <c r="D31" s="42" t="s">
        <v>489</v>
      </c>
      <c r="E31" s="42" t="s">
        <v>189</v>
      </c>
      <c r="F31" s="42" t="s">
        <v>513</v>
      </c>
      <c r="G31" s="42">
        <v>15</v>
      </c>
      <c r="H31" s="42" t="s">
        <v>36</v>
      </c>
      <c r="I31" s="42" t="s">
        <v>356</v>
      </c>
      <c r="J31" s="42" t="s">
        <v>356</v>
      </c>
      <c r="K31" s="42" t="s">
        <v>356</v>
      </c>
      <c r="L31" s="42" t="s">
        <v>356</v>
      </c>
      <c r="M31" s="42" t="s">
        <v>365</v>
      </c>
      <c r="N31" s="42" t="s">
        <v>104</v>
      </c>
      <c r="O31" s="42" t="s">
        <v>491</v>
      </c>
    </row>
    <row r="32" spans="1:15" ht="15" customHeight="1" x14ac:dyDescent="0.25">
      <c r="A32" s="42">
        <v>46147</v>
      </c>
      <c r="B32" s="42" t="s">
        <v>379</v>
      </c>
      <c r="C32" s="42" t="s">
        <v>380</v>
      </c>
      <c r="D32" s="42" t="s">
        <v>191</v>
      </c>
      <c r="E32" s="42" t="s">
        <v>189</v>
      </c>
      <c r="F32" s="42" t="s">
        <v>514</v>
      </c>
      <c r="G32" s="42">
        <v>8</v>
      </c>
      <c r="H32" s="42" t="s">
        <v>480</v>
      </c>
      <c r="I32" s="42" t="s">
        <v>356</v>
      </c>
      <c r="J32" s="42" t="s">
        <v>356</v>
      </c>
      <c r="K32" s="42" t="s">
        <v>356</v>
      </c>
      <c r="L32" s="42" t="s">
        <v>356</v>
      </c>
      <c r="M32" s="42" t="s">
        <v>356</v>
      </c>
      <c r="N32" s="42" t="s">
        <v>412</v>
      </c>
      <c r="O32" s="42" t="s">
        <v>482</v>
      </c>
    </row>
    <row r="33" spans="1:15" ht="15" customHeight="1" x14ac:dyDescent="0.25">
      <c r="A33" s="42">
        <v>46147</v>
      </c>
      <c r="B33" s="42" t="s">
        <v>379</v>
      </c>
      <c r="C33" s="42" t="s">
        <v>380</v>
      </c>
      <c r="D33" s="42" t="s">
        <v>493</v>
      </c>
      <c r="E33" s="42" t="s">
        <v>76</v>
      </c>
      <c r="F33" s="42" t="s">
        <v>494</v>
      </c>
      <c r="G33" s="42">
        <v>5</v>
      </c>
      <c r="H33" s="42" t="s">
        <v>36</v>
      </c>
      <c r="I33" s="42" t="s">
        <v>356</v>
      </c>
      <c r="J33" s="42" t="s">
        <v>356</v>
      </c>
      <c r="K33" s="42" t="s">
        <v>356</v>
      </c>
      <c r="L33" s="42" t="s">
        <v>356</v>
      </c>
      <c r="M33" s="42" t="s">
        <v>356</v>
      </c>
      <c r="N33" s="42" t="s">
        <v>209</v>
      </c>
      <c r="O33" s="42" t="s">
        <v>495</v>
      </c>
    </row>
    <row r="34" spans="1:15" ht="15" customHeight="1" x14ac:dyDescent="0.25">
      <c r="A34" s="42">
        <v>46148</v>
      </c>
      <c r="B34" s="42" t="s">
        <v>383</v>
      </c>
      <c r="C34" s="42" t="s">
        <v>384</v>
      </c>
      <c r="D34" s="42" t="s">
        <v>478</v>
      </c>
      <c r="E34" s="42" t="s">
        <v>115</v>
      </c>
      <c r="F34" s="42" t="s">
        <v>515</v>
      </c>
      <c r="G34" s="42">
        <v>45</v>
      </c>
      <c r="H34" s="42" t="s">
        <v>480</v>
      </c>
      <c r="I34" s="42" t="s">
        <v>356</v>
      </c>
      <c r="J34" s="42" t="s">
        <v>356</v>
      </c>
      <c r="K34" s="42" t="s">
        <v>356</v>
      </c>
      <c r="L34" s="42" t="s">
        <v>356</v>
      </c>
      <c r="M34" s="42" t="s">
        <v>481</v>
      </c>
      <c r="N34" s="42" t="s">
        <v>412</v>
      </c>
      <c r="O34" s="42" t="s">
        <v>482</v>
      </c>
    </row>
    <row r="35" spans="1:15" ht="15" customHeight="1" x14ac:dyDescent="0.25">
      <c r="A35" s="42">
        <v>46148</v>
      </c>
      <c r="B35" s="42" t="s">
        <v>383</v>
      </c>
      <c r="C35" s="42" t="s">
        <v>384</v>
      </c>
      <c r="D35" s="42" t="s">
        <v>483</v>
      </c>
      <c r="E35" s="42" t="s">
        <v>484</v>
      </c>
      <c r="F35" s="42" t="s">
        <v>516</v>
      </c>
      <c r="G35" s="42">
        <v>20</v>
      </c>
      <c r="H35" s="42" t="s">
        <v>36</v>
      </c>
      <c r="I35" s="42" t="s">
        <v>356</v>
      </c>
      <c r="J35" s="42" t="s">
        <v>365</v>
      </c>
      <c r="K35" s="42" t="s">
        <v>356</v>
      </c>
      <c r="L35" s="42" t="s">
        <v>356</v>
      </c>
      <c r="M35" s="42" t="s">
        <v>481</v>
      </c>
      <c r="N35" s="42" t="s">
        <v>104</v>
      </c>
      <c r="O35" s="42" t="s">
        <v>486</v>
      </c>
    </row>
    <row r="36" spans="1:15" ht="15" customHeight="1" x14ac:dyDescent="0.25">
      <c r="A36" s="42">
        <v>46148</v>
      </c>
      <c r="B36" s="42" t="s">
        <v>383</v>
      </c>
      <c r="C36" s="42" t="s">
        <v>384</v>
      </c>
      <c r="D36" s="42" t="s">
        <v>47</v>
      </c>
      <c r="E36" s="42" t="s">
        <v>487</v>
      </c>
      <c r="F36" s="42" t="s">
        <v>488</v>
      </c>
      <c r="G36" s="42">
        <v>10</v>
      </c>
      <c r="H36" s="42" t="s">
        <v>36</v>
      </c>
      <c r="I36" s="42" t="s">
        <v>356</v>
      </c>
      <c r="J36" s="42" t="s">
        <v>356</v>
      </c>
      <c r="K36" s="42" t="s">
        <v>356</v>
      </c>
      <c r="L36" s="42" t="s">
        <v>365</v>
      </c>
      <c r="M36" s="42" t="s">
        <v>481</v>
      </c>
      <c r="N36" s="42" t="s">
        <v>104</v>
      </c>
      <c r="O36" s="42" t="s">
        <v>499</v>
      </c>
    </row>
    <row r="37" spans="1:15" ht="15" customHeight="1" x14ac:dyDescent="0.25">
      <c r="A37" s="42">
        <v>46148</v>
      </c>
      <c r="B37" s="42" t="s">
        <v>383</v>
      </c>
      <c r="C37" s="42" t="s">
        <v>384</v>
      </c>
      <c r="D37" s="42" t="s">
        <v>489</v>
      </c>
      <c r="E37" s="42" t="s">
        <v>189</v>
      </c>
      <c r="F37" s="42" t="s">
        <v>517</v>
      </c>
      <c r="G37" s="42">
        <v>15</v>
      </c>
      <c r="H37" s="42" t="s">
        <v>36</v>
      </c>
      <c r="I37" s="42" t="s">
        <v>356</v>
      </c>
      <c r="J37" s="42" t="s">
        <v>356</v>
      </c>
      <c r="K37" s="42" t="s">
        <v>356</v>
      </c>
      <c r="L37" s="42" t="s">
        <v>356</v>
      </c>
      <c r="M37" s="42" t="s">
        <v>365</v>
      </c>
      <c r="N37" s="42" t="s">
        <v>104</v>
      </c>
      <c r="O37" s="42" t="s">
        <v>491</v>
      </c>
    </row>
    <row r="38" spans="1:15" ht="15" customHeight="1" x14ac:dyDescent="0.25">
      <c r="A38" s="42">
        <v>46148</v>
      </c>
      <c r="B38" s="42" t="s">
        <v>383</v>
      </c>
      <c r="C38" s="42" t="s">
        <v>384</v>
      </c>
      <c r="D38" s="42" t="s">
        <v>191</v>
      </c>
      <c r="E38" s="42" t="s">
        <v>189</v>
      </c>
      <c r="F38" s="42" t="s">
        <v>518</v>
      </c>
      <c r="G38" s="42">
        <v>8</v>
      </c>
      <c r="H38" s="42" t="s">
        <v>36</v>
      </c>
      <c r="I38" s="42" t="s">
        <v>356</v>
      </c>
      <c r="J38" s="42" t="s">
        <v>356</v>
      </c>
      <c r="K38" s="42" t="s">
        <v>356</v>
      </c>
      <c r="L38" s="42" t="s">
        <v>356</v>
      </c>
      <c r="M38" s="42" t="s">
        <v>356</v>
      </c>
      <c r="N38" s="42" t="s">
        <v>121</v>
      </c>
      <c r="O38" s="42" t="s">
        <v>502</v>
      </c>
    </row>
    <row r="39" spans="1:15" ht="15" customHeight="1" x14ac:dyDescent="0.25">
      <c r="A39" s="42">
        <v>46148</v>
      </c>
      <c r="B39" s="42" t="s">
        <v>383</v>
      </c>
      <c r="C39" s="42" t="s">
        <v>384</v>
      </c>
      <c r="D39" s="42" t="s">
        <v>493</v>
      </c>
      <c r="E39" s="42" t="s">
        <v>76</v>
      </c>
      <c r="F39" s="42" t="s">
        <v>494</v>
      </c>
      <c r="G39" s="42">
        <v>5</v>
      </c>
      <c r="H39" s="42" t="s">
        <v>480</v>
      </c>
      <c r="I39" s="42" t="s">
        <v>356</v>
      </c>
      <c r="J39" s="42" t="s">
        <v>356</v>
      </c>
      <c r="K39" s="42" t="s">
        <v>356</v>
      </c>
      <c r="L39" s="42" t="s">
        <v>356</v>
      </c>
      <c r="M39" s="42" t="s">
        <v>356</v>
      </c>
      <c r="N39" s="42" t="s">
        <v>412</v>
      </c>
      <c r="O39" s="42" t="s">
        <v>482</v>
      </c>
    </row>
    <row r="40" spans="1:15" ht="15" customHeight="1" x14ac:dyDescent="0.25">
      <c r="A40" s="42">
        <v>46149</v>
      </c>
      <c r="B40" s="42" t="s">
        <v>387</v>
      </c>
      <c r="C40" s="42" t="s">
        <v>388</v>
      </c>
      <c r="D40" s="42" t="s">
        <v>478</v>
      </c>
      <c r="E40" s="42" t="s">
        <v>115</v>
      </c>
      <c r="F40" s="42" t="s">
        <v>519</v>
      </c>
      <c r="G40" s="42">
        <v>45</v>
      </c>
      <c r="H40" s="42" t="s">
        <v>36</v>
      </c>
      <c r="I40" s="42" t="s">
        <v>356</v>
      </c>
      <c r="J40" s="42" t="s">
        <v>356</v>
      </c>
      <c r="K40" s="42" t="s">
        <v>365</v>
      </c>
      <c r="L40" s="42" t="s">
        <v>356</v>
      </c>
      <c r="M40" s="42" t="s">
        <v>481</v>
      </c>
      <c r="N40" s="42" t="s">
        <v>104</v>
      </c>
      <c r="O40" s="42" t="s">
        <v>497</v>
      </c>
    </row>
    <row r="41" spans="1:15" ht="15" customHeight="1" x14ac:dyDescent="0.25">
      <c r="A41" s="42">
        <v>46149</v>
      </c>
      <c r="B41" s="42" t="s">
        <v>387</v>
      </c>
      <c r="C41" s="42" t="s">
        <v>388</v>
      </c>
      <c r="D41" s="42" t="s">
        <v>483</v>
      </c>
      <c r="E41" s="42" t="s">
        <v>484</v>
      </c>
      <c r="F41" s="42" t="s">
        <v>520</v>
      </c>
      <c r="G41" s="42">
        <v>20</v>
      </c>
      <c r="H41" s="42" t="s">
        <v>480</v>
      </c>
      <c r="I41" s="42" t="s">
        <v>356</v>
      </c>
      <c r="J41" s="42" t="s">
        <v>356</v>
      </c>
      <c r="K41" s="42" t="s">
        <v>356</v>
      </c>
      <c r="L41" s="42" t="s">
        <v>356</v>
      </c>
      <c r="M41" s="42" t="s">
        <v>481</v>
      </c>
      <c r="N41" s="42" t="s">
        <v>412</v>
      </c>
      <c r="O41" s="42" t="s">
        <v>482</v>
      </c>
    </row>
    <row r="42" spans="1:15" ht="15" customHeight="1" x14ac:dyDescent="0.25">
      <c r="A42" s="42">
        <v>46149</v>
      </c>
      <c r="B42" s="42" t="s">
        <v>387</v>
      </c>
      <c r="C42" s="42" t="s">
        <v>388</v>
      </c>
      <c r="D42" s="42" t="s">
        <v>47</v>
      </c>
      <c r="E42" s="42" t="s">
        <v>487</v>
      </c>
      <c r="F42" s="42" t="s">
        <v>488</v>
      </c>
      <c r="G42" s="42">
        <v>10</v>
      </c>
      <c r="H42" s="42" t="s">
        <v>480</v>
      </c>
      <c r="I42" s="42" t="s">
        <v>356</v>
      </c>
      <c r="J42" s="42" t="s">
        <v>356</v>
      </c>
      <c r="K42" s="42" t="s">
        <v>356</v>
      </c>
      <c r="L42" s="42" t="s">
        <v>356</v>
      </c>
      <c r="M42" s="42" t="s">
        <v>481</v>
      </c>
      <c r="N42" s="42" t="s">
        <v>412</v>
      </c>
      <c r="O42" s="42" t="s">
        <v>482</v>
      </c>
    </row>
    <row r="43" spans="1:15" ht="15" customHeight="1" x14ac:dyDescent="0.25">
      <c r="A43" s="42">
        <v>46149</v>
      </c>
      <c r="B43" s="42" t="s">
        <v>387</v>
      </c>
      <c r="C43" s="42" t="s">
        <v>388</v>
      </c>
      <c r="D43" s="42" t="s">
        <v>489</v>
      </c>
      <c r="E43" s="42" t="s">
        <v>189</v>
      </c>
      <c r="F43" s="42" t="s">
        <v>521</v>
      </c>
      <c r="G43" s="42">
        <v>15</v>
      </c>
      <c r="H43" s="42" t="s">
        <v>36</v>
      </c>
      <c r="I43" s="42" t="s">
        <v>356</v>
      </c>
      <c r="J43" s="42" t="s">
        <v>356</v>
      </c>
      <c r="K43" s="42" t="s">
        <v>356</v>
      </c>
      <c r="L43" s="42" t="s">
        <v>356</v>
      </c>
      <c r="M43" s="42" t="s">
        <v>365</v>
      </c>
      <c r="N43" s="42" t="s">
        <v>104</v>
      </c>
      <c r="O43" s="42" t="s">
        <v>491</v>
      </c>
    </row>
    <row r="44" spans="1:15" ht="15" customHeight="1" x14ac:dyDescent="0.25">
      <c r="A44" s="42">
        <v>46149</v>
      </c>
      <c r="B44" s="42" t="s">
        <v>387</v>
      </c>
      <c r="C44" s="42" t="s">
        <v>388</v>
      </c>
      <c r="D44" s="42" t="s">
        <v>191</v>
      </c>
      <c r="E44" s="42" t="s">
        <v>189</v>
      </c>
      <c r="F44" s="42" t="s">
        <v>522</v>
      </c>
      <c r="G44" s="42">
        <v>8</v>
      </c>
      <c r="H44" s="42" t="s">
        <v>480</v>
      </c>
      <c r="I44" s="42" t="s">
        <v>356</v>
      </c>
      <c r="J44" s="42" t="s">
        <v>356</v>
      </c>
      <c r="K44" s="42" t="s">
        <v>356</v>
      </c>
      <c r="L44" s="42" t="s">
        <v>356</v>
      </c>
      <c r="M44" s="42" t="s">
        <v>356</v>
      </c>
      <c r="N44" s="42" t="s">
        <v>412</v>
      </c>
      <c r="O44" s="42" t="s">
        <v>482</v>
      </c>
    </row>
    <row r="45" spans="1:15" ht="15" customHeight="1" x14ac:dyDescent="0.25">
      <c r="A45" s="42">
        <v>46149</v>
      </c>
      <c r="B45" s="42" t="s">
        <v>387</v>
      </c>
      <c r="C45" s="42" t="s">
        <v>388</v>
      </c>
      <c r="D45" s="42" t="s">
        <v>493</v>
      </c>
      <c r="E45" s="42" t="s">
        <v>76</v>
      </c>
      <c r="F45" s="42" t="s">
        <v>494</v>
      </c>
      <c r="G45" s="42">
        <v>5</v>
      </c>
      <c r="H45" s="42" t="s">
        <v>480</v>
      </c>
      <c r="I45" s="42" t="s">
        <v>356</v>
      </c>
      <c r="J45" s="42" t="s">
        <v>356</v>
      </c>
      <c r="K45" s="42" t="s">
        <v>356</v>
      </c>
      <c r="L45" s="42" t="s">
        <v>356</v>
      </c>
      <c r="M45" s="42" t="s">
        <v>356</v>
      </c>
      <c r="N45" s="42" t="s">
        <v>412</v>
      </c>
      <c r="O45" s="42" t="s">
        <v>482</v>
      </c>
    </row>
    <row r="46" spans="1:15" ht="15" customHeight="1" x14ac:dyDescent="0.25">
      <c r="A46" s="42">
        <v>46150</v>
      </c>
      <c r="B46" s="42" t="s">
        <v>391</v>
      </c>
      <c r="C46" s="42" t="s">
        <v>392</v>
      </c>
      <c r="D46" s="42" t="s">
        <v>478</v>
      </c>
      <c r="E46" s="42" t="s">
        <v>115</v>
      </c>
      <c r="F46" s="42" t="s">
        <v>523</v>
      </c>
      <c r="G46" s="42">
        <v>45</v>
      </c>
      <c r="H46" s="42" t="s">
        <v>480</v>
      </c>
      <c r="I46" s="42" t="s">
        <v>356</v>
      </c>
      <c r="J46" s="42" t="s">
        <v>356</v>
      </c>
      <c r="K46" s="42" t="s">
        <v>356</v>
      </c>
      <c r="L46" s="42" t="s">
        <v>356</v>
      </c>
      <c r="M46" s="42" t="s">
        <v>481</v>
      </c>
      <c r="N46" s="42" t="s">
        <v>412</v>
      </c>
      <c r="O46" s="42" t="s">
        <v>482</v>
      </c>
    </row>
    <row r="47" spans="1:15" ht="15" customHeight="1" x14ac:dyDescent="0.25">
      <c r="A47" s="42">
        <v>46150</v>
      </c>
      <c r="B47" s="42" t="s">
        <v>391</v>
      </c>
      <c r="C47" s="42" t="s">
        <v>392</v>
      </c>
      <c r="D47" s="42" t="s">
        <v>483</v>
      </c>
      <c r="E47" s="42" t="s">
        <v>484</v>
      </c>
      <c r="F47" s="42" t="s">
        <v>524</v>
      </c>
      <c r="G47" s="42">
        <v>20</v>
      </c>
      <c r="H47" s="42" t="s">
        <v>480</v>
      </c>
      <c r="I47" s="42" t="s">
        <v>356</v>
      </c>
      <c r="J47" s="42" t="s">
        <v>356</v>
      </c>
      <c r="K47" s="42" t="s">
        <v>356</v>
      </c>
      <c r="L47" s="42" t="s">
        <v>356</v>
      </c>
      <c r="M47" s="42" t="s">
        <v>481</v>
      </c>
      <c r="N47" s="42" t="s">
        <v>412</v>
      </c>
      <c r="O47" s="42" t="s">
        <v>482</v>
      </c>
    </row>
    <row r="48" spans="1:15" ht="15" customHeight="1" x14ac:dyDescent="0.25">
      <c r="A48" s="42">
        <v>46150</v>
      </c>
      <c r="B48" s="42" t="s">
        <v>391</v>
      </c>
      <c r="C48" s="42" t="s">
        <v>392</v>
      </c>
      <c r="D48" s="42" t="s">
        <v>47</v>
      </c>
      <c r="E48" s="42" t="s">
        <v>487</v>
      </c>
      <c r="F48" s="42" t="s">
        <v>488</v>
      </c>
      <c r="G48" s="42">
        <v>10</v>
      </c>
      <c r="H48" s="42" t="s">
        <v>36</v>
      </c>
      <c r="I48" s="42" t="s">
        <v>356</v>
      </c>
      <c r="J48" s="42" t="s">
        <v>356</v>
      </c>
      <c r="K48" s="42" t="s">
        <v>356</v>
      </c>
      <c r="L48" s="42" t="s">
        <v>365</v>
      </c>
      <c r="M48" s="42" t="s">
        <v>481</v>
      </c>
      <c r="N48" s="42" t="s">
        <v>104</v>
      </c>
      <c r="O48" s="42" t="s">
        <v>499</v>
      </c>
    </row>
    <row r="49" spans="1:15" ht="15" customHeight="1" x14ac:dyDescent="0.25">
      <c r="A49" s="42">
        <v>46150</v>
      </c>
      <c r="B49" s="42" t="s">
        <v>391</v>
      </c>
      <c r="C49" s="42" t="s">
        <v>392</v>
      </c>
      <c r="D49" s="42" t="s">
        <v>489</v>
      </c>
      <c r="E49" s="42" t="s">
        <v>189</v>
      </c>
      <c r="F49" s="42" t="s">
        <v>525</v>
      </c>
      <c r="G49" s="42">
        <v>15</v>
      </c>
      <c r="H49" s="42" t="s">
        <v>36</v>
      </c>
      <c r="I49" s="42" t="s">
        <v>356</v>
      </c>
      <c r="J49" s="42" t="s">
        <v>356</v>
      </c>
      <c r="K49" s="42" t="s">
        <v>356</v>
      </c>
      <c r="L49" s="42" t="s">
        <v>356</v>
      </c>
      <c r="M49" s="42" t="s">
        <v>365</v>
      </c>
      <c r="N49" s="42" t="s">
        <v>104</v>
      </c>
      <c r="O49" s="42" t="s">
        <v>491</v>
      </c>
    </row>
    <row r="50" spans="1:15" ht="15" customHeight="1" x14ac:dyDescent="0.25">
      <c r="A50" s="42">
        <v>46150</v>
      </c>
      <c r="B50" s="42" t="s">
        <v>391</v>
      </c>
      <c r="C50" s="42" t="s">
        <v>392</v>
      </c>
      <c r="D50" s="42" t="s">
        <v>191</v>
      </c>
      <c r="E50" s="42" t="s">
        <v>189</v>
      </c>
      <c r="F50" s="42" t="s">
        <v>526</v>
      </c>
      <c r="G50" s="42">
        <v>8</v>
      </c>
      <c r="H50" s="42" t="s">
        <v>36</v>
      </c>
      <c r="I50" s="42" t="s">
        <v>356</v>
      </c>
      <c r="J50" s="42" t="s">
        <v>356</v>
      </c>
      <c r="K50" s="42" t="s">
        <v>356</v>
      </c>
      <c r="L50" s="42" t="s">
        <v>356</v>
      </c>
      <c r="M50" s="42" t="s">
        <v>356</v>
      </c>
      <c r="N50" s="42" t="s">
        <v>121</v>
      </c>
      <c r="O50" s="42" t="s">
        <v>502</v>
      </c>
    </row>
    <row r="51" spans="1:15" ht="15" customHeight="1" x14ac:dyDescent="0.25">
      <c r="A51" s="42">
        <v>46150</v>
      </c>
      <c r="B51" s="42" t="s">
        <v>391</v>
      </c>
      <c r="C51" s="42" t="s">
        <v>392</v>
      </c>
      <c r="D51" s="42" t="s">
        <v>493</v>
      </c>
      <c r="E51" s="42" t="s">
        <v>76</v>
      </c>
      <c r="F51" s="42" t="s">
        <v>494</v>
      </c>
      <c r="G51" s="42">
        <v>5</v>
      </c>
      <c r="H51" s="42" t="s">
        <v>36</v>
      </c>
      <c r="I51" s="42" t="s">
        <v>356</v>
      </c>
      <c r="J51" s="42" t="s">
        <v>356</v>
      </c>
      <c r="K51" s="42" t="s">
        <v>356</v>
      </c>
      <c r="L51" s="42" t="s">
        <v>356</v>
      </c>
      <c r="M51" s="42" t="s">
        <v>356</v>
      </c>
      <c r="N51" s="42" t="s">
        <v>209</v>
      </c>
      <c r="O51" s="42" t="s">
        <v>495</v>
      </c>
    </row>
    <row r="52" spans="1:15" ht="15" customHeight="1" x14ac:dyDescent="0.25">
      <c r="A52" s="42">
        <v>46151</v>
      </c>
      <c r="B52" s="42" t="s">
        <v>395</v>
      </c>
      <c r="C52" s="42" t="s">
        <v>396</v>
      </c>
      <c r="D52" s="42" t="s">
        <v>478</v>
      </c>
      <c r="E52" s="42" t="s">
        <v>115</v>
      </c>
      <c r="F52" s="42" t="s">
        <v>527</v>
      </c>
      <c r="G52" s="42">
        <v>45</v>
      </c>
      <c r="H52" s="42" t="s">
        <v>480</v>
      </c>
      <c r="I52" s="42" t="s">
        <v>356</v>
      </c>
      <c r="J52" s="42" t="s">
        <v>356</v>
      </c>
      <c r="K52" s="42" t="s">
        <v>356</v>
      </c>
      <c r="L52" s="42" t="s">
        <v>356</v>
      </c>
      <c r="M52" s="42" t="s">
        <v>481</v>
      </c>
      <c r="N52" s="42" t="s">
        <v>412</v>
      </c>
      <c r="O52" s="42" t="s">
        <v>482</v>
      </c>
    </row>
    <row r="53" spans="1:15" ht="15" customHeight="1" x14ac:dyDescent="0.25">
      <c r="A53" s="42">
        <v>46151</v>
      </c>
      <c r="B53" s="42" t="s">
        <v>395</v>
      </c>
      <c r="C53" s="42" t="s">
        <v>396</v>
      </c>
      <c r="D53" s="42" t="s">
        <v>483</v>
      </c>
      <c r="E53" s="42" t="s">
        <v>484</v>
      </c>
      <c r="F53" s="42" t="s">
        <v>528</v>
      </c>
      <c r="G53" s="42">
        <v>20</v>
      </c>
      <c r="H53" s="42" t="s">
        <v>480</v>
      </c>
      <c r="I53" s="42" t="s">
        <v>356</v>
      </c>
      <c r="J53" s="42" t="s">
        <v>356</v>
      </c>
      <c r="K53" s="42" t="s">
        <v>356</v>
      </c>
      <c r="L53" s="42" t="s">
        <v>356</v>
      </c>
      <c r="M53" s="42" t="s">
        <v>481</v>
      </c>
      <c r="N53" s="42" t="s">
        <v>412</v>
      </c>
      <c r="O53" s="42" t="s">
        <v>482</v>
      </c>
    </row>
    <row r="54" spans="1:15" ht="15" customHeight="1" x14ac:dyDescent="0.25">
      <c r="A54" s="42">
        <v>46151</v>
      </c>
      <c r="B54" s="42" t="s">
        <v>395</v>
      </c>
      <c r="C54" s="42" t="s">
        <v>396</v>
      </c>
      <c r="D54" s="42" t="s">
        <v>47</v>
      </c>
      <c r="E54" s="42" t="s">
        <v>487</v>
      </c>
      <c r="F54" s="42" t="s">
        <v>488</v>
      </c>
      <c r="G54" s="42">
        <v>10</v>
      </c>
      <c r="H54" s="42" t="s">
        <v>480</v>
      </c>
      <c r="I54" s="42" t="s">
        <v>356</v>
      </c>
      <c r="J54" s="42" t="s">
        <v>356</v>
      </c>
      <c r="K54" s="42" t="s">
        <v>356</v>
      </c>
      <c r="L54" s="42" t="s">
        <v>356</v>
      </c>
      <c r="M54" s="42" t="s">
        <v>481</v>
      </c>
      <c r="N54" s="42" t="s">
        <v>412</v>
      </c>
      <c r="O54" s="42" t="s">
        <v>482</v>
      </c>
    </row>
    <row r="55" spans="1:15" ht="15" customHeight="1" x14ac:dyDescent="0.25">
      <c r="A55" s="42">
        <v>46151</v>
      </c>
      <c r="B55" s="42" t="s">
        <v>395</v>
      </c>
      <c r="C55" s="42" t="s">
        <v>396</v>
      </c>
      <c r="D55" s="42" t="s">
        <v>489</v>
      </c>
      <c r="E55" s="42" t="s">
        <v>189</v>
      </c>
      <c r="F55" s="42" t="s">
        <v>529</v>
      </c>
      <c r="G55" s="42">
        <v>15</v>
      </c>
      <c r="H55" s="42" t="s">
        <v>36</v>
      </c>
      <c r="I55" s="42" t="s">
        <v>356</v>
      </c>
      <c r="J55" s="42" t="s">
        <v>356</v>
      </c>
      <c r="K55" s="42" t="s">
        <v>356</v>
      </c>
      <c r="L55" s="42" t="s">
        <v>356</v>
      </c>
      <c r="M55" s="42" t="s">
        <v>365</v>
      </c>
      <c r="N55" s="42" t="s">
        <v>104</v>
      </c>
      <c r="O55" s="42" t="s">
        <v>491</v>
      </c>
    </row>
    <row r="56" spans="1:15" ht="15" customHeight="1" x14ac:dyDescent="0.25">
      <c r="A56" s="42">
        <v>46151</v>
      </c>
      <c r="B56" s="42" t="s">
        <v>395</v>
      </c>
      <c r="C56" s="42" t="s">
        <v>396</v>
      </c>
      <c r="D56" s="42" t="s">
        <v>191</v>
      </c>
      <c r="E56" s="42" t="s">
        <v>189</v>
      </c>
      <c r="F56" s="42" t="s">
        <v>530</v>
      </c>
      <c r="G56" s="42">
        <v>8</v>
      </c>
      <c r="H56" s="42" t="s">
        <v>480</v>
      </c>
      <c r="I56" s="42" t="s">
        <v>356</v>
      </c>
      <c r="J56" s="42" t="s">
        <v>356</v>
      </c>
      <c r="K56" s="42" t="s">
        <v>356</v>
      </c>
      <c r="L56" s="42" t="s">
        <v>356</v>
      </c>
      <c r="M56" s="42" t="s">
        <v>356</v>
      </c>
      <c r="N56" s="42" t="s">
        <v>412</v>
      </c>
      <c r="O56" s="42" t="s">
        <v>482</v>
      </c>
    </row>
    <row r="57" spans="1:15" ht="15" customHeight="1" x14ac:dyDescent="0.25">
      <c r="A57" s="42">
        <v>46151</v>
      </c>
      <c r="B57" s="42" t="s">
        <v>395</v>
      </c>
      <c r="C57" s="42" t="s">
        <v>396</v>
      </c>
      <c r="D57" s="42" t="s">
        <v>493</v>
      </c>
      <c r="E57" s="42" t="s">
        <v>76</v>
      </c>
      <c r="F57" s="42" t="s">
        <v>494</v>
      </c>
      <c r="G57" s="42">
        <v>5</v>
      </c>
      <c r="H57" s="42" t="s">
        <v>480</v>
      </c>
      <c r="I57" s="42" t="s">
        <v>356</v>
      </c>
      <c r="J57" s="42" t="s">
        <v>356</v>
      </c>
      <c r="K57" s="42" t="s">
        <v>356</v>
      </c>
      <c r="L57" s="42" t="s">
        <v>356</v>
      </c>
      <c r="M57" s="42" t="s">
        <v>356</v>
      </c>
      <c r="N57" s="42" t="s">
        <v>412</v>
      </c>
      <c r="O57" s="42" t="s">
        <v>482</v>
      </c>
    </row>
    <row r="58" spans="1:15" ht="15" customHeight="1" x14ac:dyDescent="0.25">
      <c r="A58" s="42">
        <v>46152</v>
      </c>
      <c r="B58" s="42" t="s">
        <v>399</v>
      </c>
      <c r="C58" s="42" t="s">
        <v>400</v>
      </c>
      <c r="D58" s="42" t="s">
        <v>478</v>
      </c>
      <c r="E58" s="42" t="s">
        <v>115</v>
      </c>
      <c r="F58" s="42" t="s">
        <v>531</v>
      </c>
      <c r="G58" s="42">
        <v>45</v>
      </c>
      <c r="H58" s="42" t="s">
        <v>480</v>
      </c>
      <c r="I58" s="42" t="s">
        <v>356</v>
      </c>
      <c r="J58" s="42" t="s">
        <v>356</v>
      </c>
      <c r="K58" s="42" t="s">
        <v>356</v>
      </c>
      <c r="L58" s="42" t="s">
        <v>356</v>
      </c>
      <c r="M58" s="42" t="s">
        <v>481</v>
      </c>
      <c r="N58" s="42" t="s">
        <v>412</v>
      </c>
      <c r="O58" s="42" t="s">
        <v>482</v>
      </c>
    </row>
    <row r="59" spans="1:15" ht="15" customHeight="1" x14ac:dyDescent="0.25">
      <c r="A59" s="42">
        <v>46152</v>
      </c>
      <c r="B59" s="42" t="s">
        <v>399</v>
      </c>
      <c r="C59" s="42" t="s">
        <v>400</v>
      </c>
      <c r="D59" s="42" t="s">
        <v>483</v>
      </c>
      <c r="E59" s="42" t="s">
        <v>484</v>
      </c>
      <c r="F59" s="42" t="s">
        <v>532</v>
      </c>
      <c r="G59" s="42">
        <v>20</v>
      </c>
      <c r="H59" s="42" t="s">
        <v>36</v>
      </c>
      <c r="I59" s="42" t="s">
        <v>356</v>
      </c>
      <c r="J59" s="42" t="s">
        <v>365</v>
      </c>
      <c r="K59" s="42" t="s">
        <v>356</v>
      </c>
      <c r="L59" s="42" t="s">
        <v>356</v>
      </c>
      <c r="M59" s="42" t="s">
        <v>481</v>
      </c>
      <c r="N59" s="42" t="s">
        <v>104</v>
      </c>
      <c r="O59" s="42" t="s">
        <v>486</v>
      </c>
    </row>
    <row r="60" spans="1:15" ht="15" customHeight="1" x14ac:dyDescent="0.25">
      <c r="A60" s="42">
        <v>46152</v>
      </c>
      <c r="B60" s="42" t="s">
        <v>399</v>
      </c>
      <c r="C60" s="42" t="s">
        <v>400</v>
      </c>
      <c r="D60" s="42" t="s">
        <v>47</v>
      </c>
      <c r="E60" s="42" t="s">
        <v>487</v>
      </c>
      <c r="F60" s="42" t="s">
        <v>488</v>
      </c>
      <c r="G60" s="42">
        <v>10</v>
      </c>
      <c r="H60" s="42" t="s">
        <v>480</v>
      </c>
      <c r="I60" s="42" t="s">
        <v>356</v>
      </c>
      <c r="J60" s="42" t="s">
        <v>356</v>
      </c>
      <c r="K60" s="42" t="s">
        <v>356</v>
      </c>
      <c r="L60" s="42" t="s">
        <v>356</v>
      </c>
      <c r="M60" s="42" t="s">
        <v>481</v>
      </c>
      <c r="N60" s="42" t="s">
        <v>412</v>
      </c>
      <c r="O60" s="42" t="s">
        <v>482</v>
      </c>
    </row>
    <row r="61" spans="1:15" ht="15" customHeight="1" x14ac:dyDescent="0.25">
      <c r="A61" s="42">
        <v>46152</v>
      </c>
      <c r="B61" s="42" t="s">
        <v>399</v>
      </c>
      <c r="C61" s="42" t="s">
        <v>400</v>
      </c>
      <c r="D61" s="42" t="s">
        <v>489</v>
      </c>
      <c r="E61" s="42" t="s">
        <v>189</v>
      </c>
      <c r="F61" s="42" t="s">
        <v>533</v>
      </c>
      <c r="G61" s="42">
        <v>15</v>
      </c>
      <c r="H61" s="42" t="s">
        <v>36</v>
      </c>
      <c r="I61" s="42" t="s">
        <v>356</v>
      </c>
      <c r="J61" s="42" t="s">
        <v>356</v>
      </c>
      <c r="K61" s="42" t="s">
        <v>356</v>
      </c>
      <c r="L61" s="42" t="s">
        <v>356</v>
      </c>
      <c r="M61" s="42" t="s">
        <v>365</v>
      </c>
      <c r="N61" s="42" t="s">
        <v>104</v>
      </c>
      <c r="O61" s="42" t="s">
        <v>491</v>
      </c>
    </row>
    <row r="62" spans="1:15" ht="15" customHeight="1" x14ac:dyDescent="0.25">
      <c r="A62" s="42">
        <v>46152</v>
      </c>
      <c r="B62" s="42" t="s">
        <v>399</v>
      </c>
      <c r="C62" s="42" t="s">
        <v>400</v>
      </c>
      <c r="D62" s="42" t="s">
        <v>191</v>
      </c>
      <c r="E62" s="42" t="s">
        <v>189</v>
      </c>
      <c r="F62" s="42" t="s">
        <v>534</v>
      </c>
      <c r="G62" s="42">
        <v>8</v>
      </c>
      <c r="H62" s="42" t="s">
        <v>36</v>
      </c>
      <c r="I62" s="42" t="s">
        <v>356</v>
      </c>
      <c r="J62" s="42" t="s">
        <v>356</v>
      </c>
      <c r="K62" s="42" t="s">
        <v>356</v>
      </c>
      <c r="L62" s="42" t="s">
        <v>356</v>
      </c>
      <c r="M62" s="42" t="s">
        <v>356</v>
      </c>
      <c r="N62" s="42" t="s">
        <v>121</v>
      </c>
      <c r="O62" s="42" t="s">
        <v>502</v>
      </c>
    </row>
    <row r="63" spans="1:15" ht="15" customHeight="1" x14ac:dyDescent="0.25">
      <c r="A63" s="42">
        <v>46152</v>
      </c>
      <c r="B63" s="42" t="s">
        <v>399</v>
      </c>
      <c r="C63" s="42" t="s">
        <v>400</v>
      </c>
      <c r="D63" s="42" t="s">
        <v>493</v>
      </c>
      <c r="E63" s="42" t="s">
        <v>76</v>
      </c>
      <c r="F63" s="42" t="s">
        <v>494</v>
      </c>
      <c r="G63" s="42">
        <v>5</v>
      </c>
      <c r="H63" s="42" t="s">
        <v>36</v>
      </c>
      <c r="I63" s="42" t="s">
        <v>356</v>
      </c>
      <c r="J63" s="42" t="s">
        <v>356</v>
      </c>
      <c r="K63" s="42" t="s">
        <v>356</v>
      </c>
      <c r="L63" s="42" t="s">
        <v>356</v>
      </c>
      <c r="M63" s="42" t="s">
        <v>356</v>
      </c>
      <c r="N63" s="42" t="s">
        <v>209</v>
      </c>
      <c r="O63" s="42" t="s">
        <v>495</v>
      </c>
    </row>
    <row r="64" spans="1:15" ht="15" customHeight="1" x14ac:dyDescent="0.25">
      <c r="A64" s="42">
        <v>46153</v>
      </c>
      <c r="B64" s="42" t="s">
        <v>402</v>
      </c>
      <c r="C64" s="42" t="s">
        <v>403</v>
      </c>
      <c r="D64" s="42" t="s">
        <v>478</v>
      </c>
      <c r="E64" s="42" t="s">
        <v>115</v>
      </c>
      <c r="F64" s="42" t="s">
        <v>535</v>
      </c>
      <c r="G64" s="42">
        <v>45</v>
      </c>
      <c r="H64" s="42" t="s">
        <v>36</v>
      </c>
      <c r="I64" s="42" t="s">
        <v>356</v>
      </c>
      <c r="J64" s="42" t="s">
        <v>356</v>
      </c>
      <c r="K64" s="42" t="s">
        <v>365</v>
      </c>
      <c r="L64" s="42" t="s">
        <v>356</v>
      </c>
      <c r="M64" s="42" t="s">
        <v>481</v>
      </c>
      <c r="N64" s="42" t="s">
        <v>104</v>
      </c>
      <c r="O64" s="42" t="s">
        <v>497</v>
      </c>
    </row>
    <row r="65" spans="1:15" ht="15" customHeight="1" x14ac:dyDescent="0.25">
      <c r="A65" s="42">
        <v>46153</v>
      </c>
      <c r="B65" s="42" t="s">
        <v>402</v>
      </c>
      <c r="C65" s="42" t="s">
        <v>403</v>
      </c>
      <c r="D65" s="42" t="s">
        <v>483</v>
      </c>
      <c r="E65" s="42" t="s">
        <v>484</v>
      </c>
      <c r="F65" s="42" t="s">
        <v>536</v>
      </c>
      <c r="G65" s="42">
        <v>20</v>
      </c>
      <c r="H65" s="42" t="s">
        <v>36</v>
      </c>
      <c r="I65" s="42" t="s">
        <v>365</v>
      </c>
      <c r="J65" s="42" t="s">
        <v>365</v>
      </c>
      <c r="K65" s="42" t="s">
        <v>356</v>
      </c>
      <c r="L65" s="42" t="s">
        <v>356</v>
      </c>
      <c r="M65" s="42" t="s">
        <v>481</v>
      </c>
      <c r="N65" s="42" t="s">
        <v>104</v>
      </c>
      <c r="O65" s="42" t="s">
        <v>486</v>
      </c>
    </row>
    <row r="66" spans="1:15" ht="15" customHeight="1" x14ac:dyDescent="0.25">
      <c r="A66" s="42">
        <v>46153</v>
      </c>
      <c r="B66" s="42" t="s">
        <v>402</v>
      </c>
      <c r="C66" s="42" t="s">
        <v>403</v>
      </c>
      <c r="D66" s="42" t="s">
        <v>47</v>
      </c>
      <c r="E66" s="42" t="s">
        <v>487</v>
      </c>
      <c r="F66" s="42" t="s">
        <v>488</v>
      </c>
      <c r="G66" s="42">
        <v>10</v>
      </c>
      <c r="H66" s="42" t="s">
        <v>36</v>
      </c>
      <c r="I66" s="42" t="s">
        <v>356</v>
      </c>
      <c r="J66" s="42" t="s">
        <v>356</v>
      </c>
      <c r="K66" s="42" t="s">
        <v>356</v>
      </c>
      <c r="L66" s="42" t="s">
        <v>365</v>
      </c>
      <c r="M66" s="42" t="s">
        <v>481</v>
      </c>
      <c r="N66" s="42" t="s">
        <v>104</v>
      </c>
      <c r="O66" s="42" t="s">
        <v>499</v>
      </c>
    </row>
    <row r="67" spans="1:15" ht="15" customHeight="1" x14ac:dyDescent="0.25">
      <c r="A67" s="42">
        <v>46153</v>
      </c>
      <c r="B67" s="42" t="s">
        <v>402</v>
      </c>
      <c r="C67" s="42" t="s">
        <v>403</v>
      </c>
      <c r="D67" s="42" t="s">
        <v>489</v>
      </c>
      <c r="E67" s="42" t="s">
        <v>189</v>
      </c>
      <c r="F67" s="42" t="s">
        <v>537</v>
      </c>
      <c r="G67" s="42">
        <v>15</v>
      </c>
      <c r="H67" s="42" t="s">
        <v>36</v>
      </c>
      <c r="I67" s="42" t="s">
        <v>356</v>
      </c>
      <c r="J67" s="42" t="s">
        <v>356</v>
      </c>
      <c r="K67" s="42" t="s">
        <v>356</v>
      </c>
      <c r="L67" s="42" t="s">
        <v>356</v>
      </c>
      <c r="M67" s="42" t="s">
        <v>365</v>
      </c>
      <c r="N67" s="42" t="s">
        <v>104</v>
      </c>
      <c r="O67" s="42" t="s">
        <v>491</v>
      </c>
    </row>
    <row r="68" spans="1:15" ht="15" customHeight="1" x14ac:dyDescent="0.25">
      <c r="A68" s="42">
        <v>46153</v>
      </c>
      <c r="B68" s="42" t="s">
        <v>402</v>
      </c>
      <c r="C68" s="42" t="s">
        <v>403</v>
      </c>
      <c r="D68" s="42" t="s">
        <v>191</v>
      </c>
      <c r="E68" s="42" t="s">
        <v>189</v>
      </c>
      <c r="F68" s="42" t="s">
        <v>538</v>
      </c>
      <c r="G68" s="42">
        <v>8</v>
      </c>
      <c r="H68" s="42" t="s">
        <v>36</v>
      </c>
      <c r="I68" s="42" t="s">
        <v>356</v>
      </c>
      <c r="J68" s="42" t="s">
        <v>356</v>
      </c>
      <c r="K68" s="42" t="s">
        <v>356</v>
      </c>
      <c r="L68" s="42" t="s">
        <v>356</v>
      </c>
      <c r="M68" s="42" t="s">
        <v>356</v>
      </c>
      <c r="N68" s="42" t="s">
        <v>121</v>
      </c>
      <c r="O68" s="42" t="s">
        <v>502</v>
      </c>
    </row>
    <row r="69" spans="1:15" ht="15" customHeight="1" x14ac:dyDescent="0.25">
      <c r="A69" s="42">
        <v>46153</v>
      </c>
      <c r="B69" s="42" t="s">
        <v>402</v>
      </c>
      <c r="C69" s="42" t="s">
        <v>403</v>
      </c>
      <c r="D69" s="42" t="s">
        <v>493</v>
      </c>
      <c r="E69" s="42" t="s">
        <v>76</v>
      </c>
      <c r="F69" s="42" t="s">
        <v>494</v>
      </c>
      <c r="G69" s="42">
        <v>5</v>
      </c>
      <c r="H69" s="42" t="s">
        <v>36</v>
      </c>
      <c r="I69" s="42" t="s">
        <v>356</v>
      </c>
      <c r="J69" s="42" t="s">
        <v>356</v>
      </c>
      <c r="K69" s="42" t="s">
        <v>356</v>
      </c>
      <c r="L69" s="42" t="s">
        <v>356</v>
      </c>
      <c r="M69" s="42" t="s">
        <v>356</v>
      </c>
      <c r="N69" s="42" t="s">
        <v>209</v>
      </c>
      <c r="O69" s="42" t="s">
        <v>495</v>
      </c>
    </row>
    <row r="70" spans="1:15" ht="15" customHeight="1" x14ac:dyDescent="0.25">
      <c r="A70" s="42">
        <v>46154</v>
      </c>
      <c r="B70" s="42" t="s">
        <v>406</v>
      </c>
      <c r="C70" s="42" t="s">
        <v>407</v>
      </c>
      <c r="D70" s="42" t="s">
        <v>478</v>
      </c>
      <c r="E70" s="42" t="s">
        <v>115</v>
      </c>
      <c r="F70" s="42" t="s">
        <v>539</v>
      </c>
      <c r="G70" s="42">
        <v>45</v>
      </c>
      <c r="H70" s="42" t="s">
        <v>480</v>
      </c>
      <c r="I70" s="42" t="s">
        <v>356</v>
      </c>
      <c r="J70" s="42" t="s">
        <v>356</v>
      </c>
      <c r="K70" s="42" t="s">
        <v>356</v>
      </c>
      <c r="L70" s="42" t="s">
        <v>356</v>
      </c>
      <c r="M70" s="42" t="s">
        <v>481</v>
      </c>
      <c r="N70" s="42" t="s">
        <v>412</v>
      </c>
      <c r="O70" s="42" t="s">
        <v>482</v>
      </c>
    </row>
    <row r="71" spans="1:15" ht="15" customHeight="1" x14ac:dyDescent="0.25">
      <c r="A71" s="42">
        <v>46154</v>
      </c>
      <c r="B71" s="42" t="s">
        <v>406</v>
      </c>
      <c r="C71" s="42" t="s">
        <v>407</v>
      </c>
      <c r="D71" s="42" t="s">
        <v>483</v>
      </c>
      <c r="E71" s="42" t="s">
        <v>484</v>
      </c>
      <c r="F71" s="42" t="s">
        <v>540</v>
      </c>
      <c r="G71" s="42">
        <v>20</v>
      </c>
      <c r="H71" s="42" t="s">
        <v>480</v>
      </c>
      <c r="I71" s="42" t="s">
        <v>356</v>
      </c>
      <c r="J71" s="42" t="s">
        <v>356</v>
      </c>
      <c r="K71" s="42" t="s">
        <v>356</v>
      </c>
      <c r="L71" s="42" t="s">
        <v>356</v>
      </c>
      <c r="M71" s="42" t="s">
        <v>481</v>
      </c>
      <c r="N71" s="42" t="s">
        <v>412</v>
      </c>
      <c r="O71" s="42" t="s">
        <v>482</v>
      </c>
    </row>
    <row r="72" spans="1:15" ht="15" customHeight="1" x14ac:dyDescent="0.25">
      <c r="A72" s="42">
        <v>46154</v>
      </c>
      <c r="B72" s="42" t="s">
        <v>406</v>
      </c>
      <c r="C72" s="42" t="s">
        <v>407</v>
      </c>
      <c r="D72" s="42" t="s">
        <v>47</v>
      </c>
      <c r="E72" s="42" t="s">
        <v>487</v>
      </c>
      <c r="F72" s="42" t="s">
        <v>488</v>
      </c>
      <c r="G72" s="42">
        <v>10</v>
      </c>
      <c r="H72" s="42" t="s">
        <v>480</v>
      </c>
      <c r="I72" s="42" t="s">
        <v>356</v>
      </c>
      <c r="J72" s="42" t="s">
        <v>356</v>
      </c>
      <c r="K72" s="42" t="s">
        <v>356</v>
      </c>
      <c r="L72" s="42" t="s">
        <v>356</v>
      </c>
      <c r="M72" s="42" t="s">
        <v>481</v>
      </c>
      <c r="N72" s="42" t="s">
        <v>412</v>
      </c>
      <c r="O72" s="42" t="s">
        <v>482</v>
      </c>
    </row>
    <row r="73" spans="1:15" ht="15" customHeight="1" x14ac:dyDescent="0.25">
      <c r="A73" s="42">
        <v>46154</v>
      </c>
      <c r="B73" s="42" t="s">
        <v>406</v>
      </c>
      <c r="C73" s="42" t="s">
        <v>407</v>
      </c>
      <c r="D73" s="42" t="s">
        <v>489</v>
      </c>
      <c r="E73" s="42" t="s">
        <v>189</v>
      </c>
      <c r="F73" s="42" t="s">
        <v>541</v>
      </c>
      <c r="G73" s="42">
        <v>15</v>
      </c>
      <c r="H73" s="42" t="s">
        <v>36</v>
      </c>
      <c r="I73" s="42" t="s">
        <v>356</v>
      </c>
      <c r="J73" s="42" t="s">
        <v>356</v>
      </c>
      <c r="K73" s="42" t="s">
        <v>356</v>
      </c>
      <c r="L73" s="42" t="s">
        <v>356</v>
      </c>
      <c r="M73" s="42" t="s">
        <v>365</v>
      </c>
      <c r="N73" s="42" t="s">
        <v>104</v>
      </c>
      <c r="O73" s="42" t="s">
        <v>491</v>
      </c>
    </row>
    <row r="74" spans="1:15" ht="15" customHeight="1" x14ac:dyDescent="0.25">
      <c r="A74" s="42">
        <v>46154</v>
      </c>
      <c r="B74" s="42" t="s">
        <v>406</v>
      </c>
      <c r="C74" s="42" t="s">
        <v>407</v>
      </c>
      <c r="D74" s="42" t="s">
        <v>191</v>
      </c>
      <c r="E74" s="42" t="s">
        <v>189</v>
      </c>
      <c r="F74" s="42" t="s">
        <v>542</v>
      </c>
      <c r="G74" s="42">
        <v>8</v>
      </c>
      <c r="H74" s="42" t="s">
        <v>36</v>
      </c>
      <c r="I74" s="42" t="s">
        <v>356</v>
      </c>
      <c r="J74" s="42" t="s">
        <v>356</v>
      </c>
      <c r="K74" s="42" t="s">
        <v>356</v>
      </c>
      <c r="L74" s="42" t="s">
        <v>356</v>
      </c>
      <c r="M74" s="42" t="s">
        <v>356</v>
      </c>
      <c r="N74" s="42" t="s">
        <v>121</v>
      </c>
      <c r="O74" s="42" t="s">
        <v>502</v>
      </c>
    </row>
    <row r="75" spans="1:15" ht="15" customHeight="1" x14ac:dyDescent="0.25">
      <c r="A75" s="42">
        <v>46154</v>
      </c>
      <c r="B75" s="42" t="s">
        <v>406</v>
      </c>
      <c r="C75" s="42" t="s">
        <v>407</v>
      </c>
      <c r="D75" s="42" t="s">
        <v>493</v>
      </c>
      <c r="E75" s="42" t="s">
        <v>76</v>
      </c>
      <c r="F75" s="42" t="s">
        <v>494</v>
      </c>
      <c r="G75" s="42">
        <v>5</v>
      </c>
      <c r="H75" s="42" t="s">
        <v>36</v>
      </c>
      <c r="I75" s="42" t="s">
        <v>356</v>
      </c>
      <c r="J75" s="42" t="s">
        <v>356</v>
      </c>
      <c r="K75" s="42" t="s">
        <v>356</v>
      </c>
      <c r="L75" s="42" t="s">
        <v>356</v>
      </c>
      <c r="M75" s="42" t="s">
        <v>356</v>
      </c>
      <c r="N75" s="42" t="s">
        <v>209</v>
      </c>
      <c r="O75" s="42" t="s">
        <v>495</v>
      </c>
    </row>
    <row r="76" spans="1:15" ht="15" customHeight="1" x14ac:dyDescent="0.25">
      <c r="A76" s="42">
        <v>46155</v>
      </c>
      <c r="B76" s="42" t="s">
        <v>409</v>
      </c>
      <c r="C76" s="42" t="s">
        <v>410</v>
      </c>
      <c r="D76" s="42" t="s">
        <v>478</v>
      </c>
      <c r="E76" s="42" t="s">
        <v>115</v>
      </c>
      <c r="F76" s="42" t="s">
        <v>543</v>
      </c>
      <c r="G76" s="42">
        <v>45</v>
      </c>
      <c r="H76" s="42" t="s">
        <v>480</v>
      </c>
      <c r="I76" s="42" t="s">
        <v>356</v>
      </c>
      <c r="J76" s="42" t="s">
        <v>356</v>
      </c>
      <c r="K76" s="42" t="s">
        <v>356</v>
      </c>
      <c r="L76" s="42" t="s">
        <v>356</v>
      </c>
      <c r="M76" s="42" t="s">
        <v>481</v>
      </c>
      <c r="N76" s="42" t="s">
        <v>412</v>
      </c>
      <c r="O76" s="42" t="s">
        <v>482</v>
      </c>
    </row>
    <row r="77" spans="1:15" ht="15" customHeight="1" x14ac:dyDescent="0.25">
      <c r="A77" s="42">
        <v>46155</v>
      </c>
      <c r="B77" s="42" t="s">
        <v>409</v>
      </c>
      <c r="C77" s="42" t="s">
        <v>410</v>
      </c>
      <c r="D77" s="42" t="s">
        <v>483</v>
      </c>
      <c r="E77" s="42" t="s">
        <v>484</v>
      </c>
      <c r="F77" s="42" t="s">
        <v>544</v>
      </c>
      <c r="G77" s="42">
        <v>20</v>
      </c>
      <c r="H77" s="42" t="s">
        <v>480</v>
      </c>
      <c r="I77" s="42" t="s">
        <v>356</v>
      </c>
      <c r="J77" s="42" t="s">
        <v>356</v>
      </c>
      <c r="K77" s="42" t="s">
        <v>356</v>
      </c>
      <c r="L77" s="42" t="s">
        <v>356</v>
      </c>
      <c r="M77" s="42" t="s">
        <v>481</v>
      </c>
      <c r="N77" s="42" t="s">
        <v>412</v>
      </c>
      <c r="O77" s="42" t="s">
        <v>482</v>
      </c>
    </row>
    <row r="78" spans="1:15" ht="15" customHeight="1" x14ac:dyDescent="0.25">
      <c r="A78" s="42">
        <v>46155</v>
      </c>
      <c r="B78" s="42" t="s">
        <v>409</v>
      </c>
      <c r="C78" s="42" t="s">
        <v>410</v>
      </c>
      <c r="D78" s="42" t="s">
        <v>47</v>
      </c>
      <c r="E78" s="42" t="s">
        <v>487</v>
      </c>
      <c r="F78" s="42" t="s">
        <v>488</v>
      </c>
      <c r="G78" s="42">
        <v>10</v>
      </c>
      <c r="H78" s="42" t="s">
        <v>480</v>
      </c>
      <c r="I78" s="42" t="s">
        <v>356</v>
      </c>
      <c r="J78" s="42" t="s">
        <v>356</v>
      </c>
      <c r="K78" s="42" t="s">
        <v>356</v>
      </c>
      <c r="L78" s="42" t="s">
        <v>356</v>
      </c>
      <c r="M78" s="42" t="s">
        <v>481</v>
      </c>
      <c r="N78" s="42" t="s">
        <v>412</v>
      </c>
      <c r="O78" s="42" t="s">
        <v>482</v>
      </c>
    </row>
    <row r="79" spans="1:15" ht="15" customHeight="1" x14ac:dyDescent="0.25">
      <c r="A79" s="42">
        <v>46155</v>
      </c>
      <c r="B79" s="42" t="s">
        <v>409</v>
      </c>
      <c r="C79" s="42" t="s">
        <v>410</v>
      </c>
      <c r="D79" s="42" t="s">
        <v>489</v>
      </c>
      <c r="E79" s="42" t="s">
        <v>189</v>
      </c>
      <c r="F79" s="42" t="s">
        <v>545</v>
      </c>
      <c r="G79" s="42">
        <v>15</v>
      </c>
      <c r="H79" s="42" t="s">
        <v>36</v>
      </c>
      <c r="I79" s="42" t="s">
        <v>356</v>
      </c>
      <c r="J79" s="42" t="s">
        <v>356</v>
      </c>
      <c r="K79" s="42" t="s">
        <v>356</v>
      </c>
      <c r="L79" s="42" t="s">
        <v>356</v>
      </c>
      <c r="M79" s="42" t="s">
        <v>365</v>
      </c>
      <c r="N79" s="42" t="s">
        <v>104</v>
      </c>
      <c r="O79" s="42" t="s">
        <v>491</v>
      </c>
    </row>
    <row r="80" spans="1:15" ht="15" customHeight="1" x14ac:dyDescent="0.25">
      <c r="A80" s="42">
        <v>46155</v>
      </c>
      <c r="B80" s="42" t="s">
        <v>409</v>
      </c>
      <c r="C80" s="42" t="s">
        <v>410</v>
      </c>
      <c r="D80" s="42" t="s">
        <v>191</v>
      </c>
      <c r="E80" s="42" t="s">
        <v>189</v>
      </c>
      <c r="F80" s="42" t="s">
        <v>546</v>
      </c>
      <c r="G80" s="42">
        <v>8</v>
      </c>
      <c r="H80" s="42" t="s">
        <v>36</v>
      </c>
      <c r="I80" s="42" t="s">
        <v>356</v>
      </c>
      <c r="J80" s="42" t="s">
        <v>356</v>
      </c>
      <c r="K80" s="42" t="s">
        <v>356</v>
      </c>
      <c r="L80" s="42" t="s">
        <v>356</v>
      </c>
      <c r="M80" s="42" t="s">
        <v>356</v>
      </c>
      <c r="N80" s="42" t="s">
        <v>121</v>
      </c>
      <c r="O80" s="42" t="s">
        <v>502</v>
      </c>
    </row>
    <row r="81" spans="1:15" ht="15" customHeight="1" x14ac:dyDescent="0.25">
      <c r="A81" s="42">
        <v>46155</v>
      </c>
      <c r="B81" s="42" t="s">
        <v>409</v>
      </c>
      <c r="C81" s="42" t="s">
        <v>410</v>
      </c>
      <c r="D81" s="42" t="s">
        <v>493</v>
      </c>
      <c r="E81" s="42" t="s">
        <v>76</v>
      </c>
      <c r="F81" s="42" t="s">
        <v>494</v>
      </c>
      <c r="G81" s="42">
        <v>5</v>
      </c>
      <c r="H81" s="42" t="s">
        <v>36</v>
      </c>
      <c r="I81" s="42" t="s">
        <v>356</v>
      </c>
      <c r="J81" s="42" t="s">
        <v>356</v>
      </c>
      <c r="K81" s="42" t="s">
        <v>356</v>
      </c>
      <c r="L81" s="42" t="s">
        <v>356</v>
      </c>
      <c r="M81" s="42" t="s">
        <v>356</v>
      </c>
      <c r="N81" s="42" t="s">
        <v>209</v>
      </c>
      <c r="O81" s="42" t="s">
        <v>495</v>
      </c>
    </row>
    <row r="82" spans="1:15" ht="15" customHeight="1" x14ac:dyDescent="0.25">
      <c r="A82" s="42">
        <v>46156</v>
      </c>
      <c r="B82" s="42" t="s">
        <v>415</v>
      </c>
      <c r="C82" s="42" t="s">
        <v>416</v>
      </c>
      <c r="D82" s="42" t="s">
        <v>478</v>
      </c>
      <c r="E82" s="42" t="s">
        <v>115</v>
      </c>
      <c r="F82" s="42" t="s">
        <v>547</v>
      </c>
      <c r="G82" s="42">
        <v>45</v>
      </c>
      <c r="H82" s="42" t="s">
        <v>36</v>
      </c>
      <c r="I82" s="42" t="s">
        <v>356</v>
      </c>
      <c r="J82" s="42" t="s">
        <v>356</v>
      </c>
      <c r="K82" s="42" t="s">
        <v>365</v>
      </c>
      <c r="L82" s="42" t="s">
        <v>356</v>
      </c>
      <c r="M82" s="42" t="s">
        <v>481</v>
      </c>
      <c r="N82" s="42" t="s">
        <v>104</v>
      </c>
      <c r="O82" s="42" t="s">
        <v>497</v>
      </c>
    </row>
    <row r="83" spans="1:15" ht="15" customHeight="1" x14ac:dyDescent="0.25">
      <c r="A83" s="42">
        <v>46156</v>
      </c>
      <c r="B83" s="42" t="s">
        <v>415</v>
      </c>
      <c r="C83" s="42" t="s">
        <v>416</v>
      </c>
      <c r="D83" s="42" t="s">
        <v>483</v>
      </c>
      <c r="E83" s="42" t="s">
        <v>484</v>
      </c>
      <c r="F83" s="42" t="s">
        <v>548</v>
      </c>
      <c r="G83" s="42">
        <v>20</v>
      </c>
      <c r="H83" s="42" t="s">
        <v>36</v>
      </c>
      <c r="I83" s="42" t="s">
        <v>365</v>
      </c>
      <c r="J83" s="42" t="s">
        <v>365</v>
      </c>
      <c r="K83" s="42" t="s">
        <v>356</v>
      </c>
      <c r="L83" s="42" t="s">
        <v>356</v>
      </c>
      <c r="M83" s="42" t="s">
        <v>481</v>
      </c>
      <c r="N83" s="42" t="s">
        <v>104</v>
      </c>
      <c r="O83" s="42" t="s">
        <v>486</v>
      </c>
    </row>
    <row r="84" spans="1:15" ht="15" customHeight="1" x14ac:dyDescent="0.25">
      <c r="A84" s="42">
        <v>46156</v>
      </c>
      <c r="B84" s="42" t="s">
        <v>415</v>
      </c>
      <c r="C84" s="42" t="s">
        <v>416</v>
      </c>
      <c r="D84" s="42" t="s">
        <v>47</v>
      </c>
      <c r="E84" s="42" t="s">
        <v>487</v>
      </c>
      <c r="F84" s="42" t="s">
        <v>488</v>
      </c>
      <c r="G84" s="42">
        <v>10</v>
      </c>
      <c r="H84" s="42" t="s">
        <v>36</v>
      </c>
      <c r="I84" s="42" t="s">
        <v>356</v>
      </c>
      <c r="J84" s="42" t="s">
        <v>356</v>
      </c>
      <c r="K84" s="42" t="s">
        <v>356</v>
      </c>
      <c r="L84" s="42" t="s">
        <v>365</v>
      </c>
      <c r="M84" s="42" t="s">
        <v>481</v>
      </c>
      <c r="N84" s="42" t="s">
        <v>104</v>
      </c>
      <c r="O84" s="42" t="s">
        <v>499</v>
      </c>
    </row>
    <row r="85" spans="1:15" ht="15" customHeight="1" x14ac:dyDescent="0.25">
      <c r="A85" s="42">
        <v>46156</v>
      </c>
      <c r="B85" s="42" t="s">
        <v>415</v>
      </c>
      <c r="C85" s="42" t="s">
        <v>416</v>
      </c>
      <c r="D85" s="42" t="s">
        <v>489</v>
      </c>
      <c r="E85" s="42" t="s">
        <v>189</v>
      </c>
      <c r="F85" s="42" t="s">
        <v>549</v>
      </c>
      <c r="G85" s="42">
        <v>15</v>
      </c>
      <c r="H85" s="42" t="s">
        <v>36</v>
      </c>
      <c r="I85" s="42" t="s">
        <v>356</v>
      </c>
      <c r="J85" s="42" t="s">
        <v>356</v>
      </c>
      <c r="K85" s="42" t="s">
        <v>356</v>
      </c>
      <c r="L85" s="42" t="s">
        <v>356</v>
      </c>
      <c r="M85" s="42" t="s">
        <v>365</v>
      </c>
      <c r="N85" s="42" t="s">
        <v>104</v>
      </c>
      <c r="O85" s="42" t="s">
        <v>491</v>
      </c>
    </row>
    <row r="86" spans="1:15" ht="15" customHeight="1" x14ac:dyDescent="0.25">
      <c r="A86" s="42">
        <v>46156</v>
      </c>
      <c r="B86" s="42" t="s">
        <v>415</v>
      </c>
      <c r="C86" s="42" t="s">
        <v>416</v>
      </c>
      <c r="D86" s="42" t="s">
        <v>191</v>
      </c>
      <c r="E86" s="42" t="s">
        <v>189</v>
      </c>
      <c r="F86" s="42" t="s">
        <v>550</v>
      </c>
      <c r="G86" s="42">
        <v>8</v>
      </c>
      <c r="H86" s="42" t="s">
        <v>36</v>
      </c>
      <c r="I86" s="42" t="s">
        <v>356</v>
      </c>
      <c r="J86" s="42" t="s">
        <v>356</v>
      </c>
      <c r="K86" s="42" t="s">
        <v>356</v>
      </c>
      <c r="L86" s="42" t="s">
        <v>356</v>
      </c>
      <c r="M86" s="42" t="s">
        <v>356</v>
      </c>
      <c r="N86" s="42" t="s">
        <v>121</v>
      </c>
      <c r="O86" s="42" t="s">
        <v>502</v>
      </c>
    </row>
    <row r="87" spans="1:15" ht="15" customHeight="1" x14ac:dyDescent="0.25">
      <c r="A87" s="42">
        <v>46156</v>
      </c>
      <c r="B87" s="42" t="s">
        <v>415</v>
      </c>
      <c r="C87" s="42" t="s">
        <v>416</v>
      </c>
      <c r="D87" s="42" t="s">
        <v>493</v>
      </c>
      <c r="E87" s="42" t="s">
        <v>76</v>
      </c>
      <c r="F87" s="42" t="s">
        <v>494</v>
      </c>
      <c r="G87" s="42">
        <v>5</v>
      </c>
      <c r="H87" s="42" t="s">
        <v>480</v>
      </c>
      <c r="I87" s="42" t="s">
        <v>356</v>
      </c>
      <c r="J87" s="42" t="s">
        <v>356</v>
      </c>
      <c r="K87" s="42" t="s">
        <v>356</v>
      </c>
      <c r="L87" s="42" t="s">
        <v>356</v>
      </c>
      <c r="M87" s="42" t="s">
        <v>356</v>
      </c>
      <c r="N87" s="42" t="s">
        <v>412</v>
      </c>
      <c r="O87" s="42" t="s">
        <v>482</v>
      </c>
    </row>
    <row r="88" spans="1:15" ht="15" customHeight="1" x14ac:dyDescent="0.25">
      <c r="A88" s="42">
        <v>46157</v>
      </c>
      <c r="B88" s="42" t="s">
        <v>418</v>
      </c>
      <c r="C88" s="42" t="s">
        <v>419</v>
      </c>
      <c r="D88" s="42" t="s">
        <v>478</v>
      </c>
      <c r="E88" s="42" t="s">
        <v>115</v>
      </c>
      <c r="F88" s="42" t="s">
        <v>551</v>
      </c>
      <c r="G88" s="42">
        <v>45</v>
      </c>
      <c r="H88" s="42" t="s">
        <v>480</v>
      </c>
      <c r="I88" s="42" t="s">
        <v>356</v>
      </c>
      <c r="J88" s="42" t="s">
        <v>356</v>
      </c>
      <c r="K88" s="42" t="s">
        <v>356</v>
      </c>
      <c r="L88" s="42" t="s">
        <v>356</v>
      </c>
      <c r="M88" s="42" t="s">
        <v>481</v>
      </c>
      <c r="N88" s="42" t="s">
        <v>412</v>
      </c>
      <c r="O88" s="42" t="s">
        <v>482</v>
      </c>
    </row>
    <row r="89" spans="1:15" ht="15" customHeight="1" x14ac:dyDescent="0.25">
      <c r="A89" s="42">
        <v>46157</v>
      </c>
      <c r="B89" s="42" t="s">
        <v>418</v>
      </c>
      <c r="C89" s="42" t="s">
        <v>419</v>
      </c>
      <c r="D89" s="42" t="s">
        <v>483</v>
      </c>
      <c r="E89" s="42" t="s">
        <v>484</v>
      </c>
      <c r="F89" s="42" t="s">
        <v>552</v>
      </c>
      <c r="G89" s="42">
        <v>20</v>
      </c>
      <c r="H89" s="42" t="s">
        <v>480</v>
      </c>
      <c r="I89" s="42" t="s">
        <v>356</v>
      </c>
      <c r="J89" s="42" t="s">
        <v>356</v>
      </c>
      <c r="K89" s="42" t="s">
        <v>356</v>
      </c>
      <c r="L89" s="42" t="s">
        <v>356</v>
      </c>
      <c r="M89" s="42" t="s">
        <v>481</v>
      </c>
      <c r="N89" s="42" t="s">
        <v>412</v>
      </c>
      <c r="O89" s="42" t="s">
        <v>482</v>
      </c>
    </row>
    <row r="90" spans="1:15" ht="15" customHeight="1" x14ac:dyDescent="0.25">
      <c r="A90" s="42">
        <v>46157</v>
      </c>
      <c r="B90" s="42" t="s">
        <v>418</v>
      </c>
      <c r="C90" s="42" t="s">
        <v>419</v>
      </c>
      <c r="D90" s="42" t="s">
        <v>47</v>
      </c>
      <c r="E90" s="42" t="s">
        <v>487</v>
      </c>
      <c r="F90" s="42" t="s">
        <v>488</v>
      </c>
      <c r="G90" s="42">
        <v>10</v>
      </c>
      <c r="H90" s="42" t="s">
        <v>480</v>
      </c>
      <c r="I90" s="42" t="s">
        <v>356</v>
      </c>
      <c r="J90" s="42" t="s">
        <v>356</v>
      </c>
      <c r="K90" s="42" t="s">
        <v>356</v>
      </c>
      <c r="L90" s="42" t="s">
        <v>356</v>
      </c>
      <c r="M90" s="42" t="s">
        <v>481</v>
      </c>
      <c r="N90" s="42" t="s">
        <v>412</v>
      </c>
      <c r="O90" s="42" t="s">
        <v>482</v>
      </c>
    </row>
    <row r="91" spans="1:15" ht="15" customHeight="1" x14ac:dyDescent="0.25">
      <c r="A91" s="42">
        <v>46157</v>
      </c>
      <c r="B91" s="42" t="s">
        <v>418</v>
      </c>
      <c r="C91" s="42" t="s">
        <v>419</v>
      </c>
      <c r="D91" s="42" t="s">
        <v>489</v>
      </c>
      <c r="E91" s="42" t="s">
        <v>189</v>
      </c>
      <c r="F91" s="42" t="s">
        <v>553</v>
      </c>
      <c r="G91" s="42">
        <v>15</v>
      </c>
      <c r="H91" s="42" t="s">
        <v>36</v>
      </c>
      <c r="I91" s="42" t="s">
        <v>356</v>
      </c>
      <c r="J91" s="42" t="s">
        <v>356</v>
      </c>
      <c r="K91" s="42" t="s">
        <v>356</v>
      </c>
      <c r="L91" s="42" t="s">
        <v>356</v>
      </c>
      <c r="M91" s="42" t="s">
        <v>365</v>
      </c>
      <c r="N91" s="42" t="s">
        <v>104</v>
      </c>
      <c r="O91" s="42" t="s">
        <v>491</v>
      </c>
    </row>
    <row r="92" spans="1:15" ht="15" customHeight="1" x14ac:dyDescent="0.25">
      <c r="A92" s="42">
        <v>46157</v>
      </c>
      <c r="B92" s="42" t="s">
        <v>418</v>
      </c>
      <c r="C92" s="42" t="s">
        <v>419</v>
      </c>
      <c r="D92" s="42" t="s">
        <v>191</v>
      </c>
      <c r="E92" s="42" t="s">
        <v>189</v>
      </c>
      <c r="F92" s="42" t="s">
        <v>554</v>
      </c>
      <c r="G92" s="42">
        <v>8</v>
      </c>
      <c r="H92" s="42" t="s">
        <v>36</v>
      </c>
      <c r="I92" s="42" t="s">
        <v>356</v>
      </c>
      <c r="J92" s="42" t="s">
        <v>356</v>
      </c>
      <c r="K92" s="42" t="s">
        <v>356</v>
      </c>
      <c r="L92" s="42" t="s">
        <v>356</v>
      </c>
      <c r="M92" s="42" t="s">
        <v>356</v>
      </c>
      <c r="N92" s="42" t="s">
        <v>121</v>
      </c>
      <c r="O92" s="42" t="s">
        <v>502</v>
      </c>
    </row>
    <row r="93" spans="1:15" ht="15" customHeight="1" x14ac:dyDescent="0.25">
      <c r="A93" s="42">
        <v>46157</v>
      </c>
      <c r="B93" s="42" t="s">
        <v>418</v>
      </c>
      <c r="C93" s="42" t="s">
        <v>419</v>
      </c>
      <c r="D93" s="42" t="s">
        <v>493</v>
      </c>
      <c r="E93" s="42" t="s">
        <v>76</v>
      </c>
      <c r="F93" s="42" t="s">
        <v>494</v>
      </c>
      <c r="G93" s="42">
        <v>5</v>
      </c>
      <c r="H93" s="42" t="s">
        <v>36</v>
      </c>
      <c r="I93" s="42" t="s">
        <v>356</v>
      </c>
      <c r="J93" s="42" t="s">
        <v>356</v>
      </c>
      <c r="K93" s="42" t="s">
        <v>356</v>
      </c>
      <c r="L93" s="42" t="s">
        <v>356</v>
      </c>
      <c r="M93" s="42" t="s">
        <v>356</v>
      </c>
      <c r="N93" s="42" t="s">
        <v>209</v>
      </c>
      <c r="O93" s="42" t="s">
        <v>495</v>
      </c>
    </row>
    <row r="94" spans="1:15" ht="15" customHeight="1" x14ac:dyDescent="0.25">
      <c r="A94" s="42">
        <v>46158</v>
      </c>
      <c r="B94" s="42" t="s">
        <v>423</v>
      </c>
      <c r="C94" s="42" t="s">
        <v>424</v>
      </c>
      <c r="D94" s="42" t="s">
        <v>478</v>
      </c>
      <c r="E94" s="42" t="s">
        <v>115</v>
      </c>
      <c r="F94" s="42" t="s">
        <v>555</v>
      </c>
      <c r="G94" s="42">
        <v>45</v>
      </c>
      <c r="H94" s="42" t="s">
        <v>480</v>
      </c>
      <c r="I94" s="42" t="s">
        <v>356</v>
      </c>
      <c r="J94" s="42" t="s">
        <v>356</v>
      </c>
      <c r="K94" s="42" t="s">
        <v>356</v>
      </c>
      <c r="L94" s="42" t="s">
        <v>356</v>
      </c>
      <c r="M94" s="42" t="s">
        <v>481</v>
      </c>
      <c r="N94" s="42" t="s">
        <v>412</v>
      </c>
      <c r="O94" s="42" t="s">
        <v>482</v>
      </c>
    </row>
    <row r="95" spans="1:15" ht="15" customHeight="1" x14ac:dyDescent="0.25">
      <c r="A95" s="42">
        <v>46158</v>
      </c>
      <c r="B95" s="42" t="s">
        <v>423</v>
      </c>
      <c r="C95" s="42" t="s">
        <v>424</v>
      </c>
      <c r="D95" s="42" t="s">
        <v>483</v>
      </c>
      <c r="E95" s="42" t="s">
        <v>484</v>
      </c>
      <c r="F95" s="42" t="s">
        <v>556</v>
      </c>
      <c r="G95" s="42">
        <v>20</v>
      </c>
      <c r="H95" s="42" t="s">
        <v>36</v>
      </c>
      <c r="I95" s="42" t="s">
        <v>365</v>
      </c>
      <c r="J95" s="42" t="s">
        <v>365</v>
      </c>
      <c r="K95" s="42" t="s">
        <v>356</v>
      </c>
      <c r="L95" s="42" t="s">
        <v>356</v>
      </c>
      <c r="M95" s="42" t="s">
        <v>481</v>
      </c>
      <c r="N95" s="42" t="s">
        <v>104</v>
      </c>
      <c r="O95" s="42" t="s">
        <v>486</v>
      </c>
    </row>
    <row r="96" spans="1:15" ht="15" customHeight="1" x14ac:dyDescent="0.25">
      <c r="A96" s="42">
        <v>46158</v>
      </c>
      <c r="B96" s="42" t="s">
        <v>423</v>
      </c>
      <c r="C96" s="42" t="s">
        <v>424</v>
      </c>
      <c r="D96" s="42" t="s">
        <v>47</v>
      </c>
      <c r="E96" s="42" t="s">
        <v>487</v>
      </c>
      <c r="F96" s="42" t="s">
        <v>488</v>
      </c>
      <c r="G96" s="42">
        <v>10</v>
      </c>
      <c r="H96" s="42" t="s">
        <v>36</v>
      </c>
      <c r="I96" s="42" t="s">
        <v>356</v>
      </c>
      <c r="J96" s="42" t="s">
        <v>356</v>
      </c>
      <c r="K96" s="42" t="s">
        <v>356</v>
      </c>
      <c r="L96" s="42" t="s">
        <v>365</v>
      </c>
      <c r="M96" s="42" t="s">
        <v>481</v>
      </c>
      <c r="N96" s="42" t="s">
        <v>104</v>
      </c>
      <c r="O96" s="42" t="s">
        <v>499</v>
      </c>
    </row>
    <row r="97" spans="1:15" ht="15" customHeight="1" x14ac:dyDescent="0.25">
      <c r="A97" s="42">
        <v>46158</v>
      </c>
      <c r="B97" s="42" t="s">
        <v>423</v>
      </c>
      <c r="C97" s="42" t="s">
        <v>424</v>
      </c>
      <c r="D97" s="42" t="s">
        <v>489</v>
      </c>
      <c r="E97" s="42" t="s">
        <v>189</v>
      </c>
      <c r="F97" s="42" t="s">
        <v>557</v>
      </c>
      <c r="G97" s="42">
        <v>15</v>
      </c>
      <c r="H97" s="42" t="s">
        <v>36</v>
      </c>
      <c r="I97" s="42" t="s">
        <v>356</v>
      </c>
      <c r="J97" s="42" t="s">
        <v>356</v>
      </c>
      <c r="K97" s="42" t="s">
        <v>356</v>
      </c>
      <c r="L97" s="42" t="s">
        <v>356</v>
      </c>
      <c r="M97" s="42" t="s">
        <v>365</v>
      </c>
      <c r="N97" s="42" t="s">
        <v>104</v>
      </c>
      <c r="O97" s="42" t="s">
        <v>491</v>
      </c>
    </row>
    <row r="98" spans="1:15" ht="15" customHeight="1" x14ac:dyDescent="0.25">
      <c r="A98" s="42">
        <v>46158</v>
      </c>
      <c r="B98" s="42" t="s">
        <v>423</v>
      </c>
      <c r="C98" s="42" t="s">
        <v>424</v>
      </c>
      <c r="D98" s="42" t="s">
        <v>191</v>
      </c>
      <c r="E98" s="42" t="s">
        <v>189</v>
      </c>
      <c r="F98" s="42" t="s">
        <v>558</v>
      </c>
      <c r="G98" s="42">
        <v>8</v>
      </c>
      <c r="H98" s="42" t="s">
        <v>36</v>
      </c>
      <c r="I98" s="42" t="s">
        <v>356</v>
      </c>
      <c r="J98" s="42" t="s">
        <v>356</v>
      </c>
      <c r="K98" s="42" t="s">
        <v>356</v>
      </c>
      <c r="L98" s="42" t="s">
        <v>356</v>
      </c>
      <c r="M98" s="42" t="s">
        <v>356</v>
      </c>
      <c r="N98" s="42" t="s">
        <v>121</v>
      </c>
      <c r="O98" s="42" t="s">
        <v>502</v>
      </c>
    </row>
    <row r="99" spans="1:15" ht="15" customHeight="1" x14ac:dyDescent="0.25">
      <c r="A99" s="42">
        <v>46158</v>
      </c>
      <c r="B99" s="42" t="s">
        <v>423</v>
      </c>
      <c r="C99" s="42" t="s">
        <v>424</v>
      </c>
      <c r="D99" s="42" t="s">
        <v>493</v>
      </c>
      <c r="E99" s="42" t="s">
        <v>76</v>
      </c>
      <c r="F99" s="42" t="s">
        <v>494</v>
      </c>
      <c r="G99" s="42">
        <v>5</v>
      </c>
      <c r="H99" s="42" t="s">
        <v>36</v>
      </c>
      <c r="I99" s="42" t="s">
        <v>356</v>
      </c>
      <c r="J99" s="42" t="s">
        <v>356</v>
      </c>
      <c r="K99" s="42" t="s">
        <v>356</v>
      </c>
      <c r="L99" s="42" t="s">
        <v>356</v>
      </c>
      <c r="M99" s="42" t="s">
        <v>356</v>
      </c>
      <c r="N99" s="42" t="s">
        <v>209</v>
      </c>
      <c r="O99" s="42" t="s">
        <v>495</v>
      </c>
    </row>
    <row r="100" spans="1:15" ht="15" customHeight="1" x14ac:dyDescent="0.25">
      <c r="A100" s="42">
        <v>46159</v>
      </c>
      <c r="B100" s="42" t="s">
        <v>427</v>
      </c>
      <c r="C100" s="42" t="s">
        <v>428</v>
      </c>
      <c r="D100" s="42" t="s">
        <v>478</v>
      </c>
      <c r="E100" s="42" t="s">
        <v>115</v>
      </c>
      <c r="F100" s="42" t="s">
        <v>559</v>
      </c>
      <c r="G100" s="42">
        <v>45</v>
      </c>
      <c r="H100" s="42" t="s">
        <v>480</v>
      </c>
      <c r="I100" s="42" t="s">
        <v>356</v>
      </c>
      <c r="J100" s="42" t="s">
        <v>356</v>
      </c>
      <c r="K100" s="42" t="s">
        <v>356</v>
      </c>
      <c r="L100" s="42" t="s">
        <v>356</v>
      </c>
      <c r="M100" s="42" t="s">
        <v>481</v>
      </c>
      <c r="N100" s="42" t="s">
        <v>412</v>
      </c>
      <c r="O100" s="42" t="s">
        <v>482</v>
      </c>
    </row>
    <row r="101" spans="1:15" ht="15" customHeight="1" x14ac:dyDescent="0.25">
      <c r="A101" s="42">
        <v>46159</v>
      </c>
      <c r="B101" s="42" t="s">
        <v>427</v>
      </c>
      <c r="C101" s="42" t="s">
        <v>428</v>
      </c>
      <c r="D101" s="42" t="s">
        <v>483</v>
      </c>
      <c r="E101" s="42" t="s">
        <v>484</v>
      </c>
      <c r="F101" s="42" t="s">
        <v>560</v>
      </c>
      <c r="G101" s="42">
        <v>20</v>
      </c>
      <c r="H101" s="42" t="s">
        <v>480</v>
      </c>
      <c r="I101" s="42" t="s">
        <v>356</v>
      </c>
      <c r="J101" s="42" t="s">
        <v>356</v>
      </c>
      <c r="K101" s="42" t="s">
        <v>356</v>
      </c>
      <c r="L101" s="42" t="s">
        <v>356</v>
      </c>
      <c r="M101" s="42" t="s">
        <v>481</v>
      </c>
      <c r="N101" s="42" t="s">
        <v>412</v>
      </c>
      <c r="O101" s="42" t="s">
        <v>482</v>
      </c>
    </row>
    <row r="102" spans="1:15" ht="15" customHeight="1" x14ac:dyDescent="0.25">
      <c r="A102" s="42">
        <v>46159</v>
      </c>
      <c r="B102" s="42" t="s">
        <v>427</v>
      </c>
      <c r="C102" s="42" t="s">
        <v>428</v>
      </c>
      <c r="D102" s="42" t="s">
        <v>47</v>
      </c>
      <c r="E102" s="42" t="s">
        <v>487</v>
      </c>
      <c r="F102" s="42" t="s">
        <v>488</v>
      </c>
      <c r="G102" s="42">
        <v>10</v>
      </c>
      <c r="H102" s="42" t="s">
        <v>480</v>
      </c>
      <c r="I102" s="42" t="s">
        <v>356</v>
      </c>
      <c r="J102" s="42" t="s">
        <v>356</v>
      </c>
      <c r="K102" s="42" t="s">
        <v>356</v>
      </c>
      <c r="L102" s="42" t="s">
        <v>356</v>
      </c>
      <c r="M102" s="42" t="s">
        <v>481</v>
      </c>
      <c r="N102" s="42" t="s">
        <v>412</v>
      </c>
      <c r="O102" s="42" t="s">
        <v>482</v>
      </c>
    </row>
    <row r="103" spans="1:15" ht="15" customHeight="1" x14ac:dyDescent="0.25">
      <c r="A103" s="42">
        <v>46159</v>
      </c>
      <c r="B103" s="42" t="s">
        <v>427</v>
      </c>
      <c r="C103" s="42" t="s">
        <v>428</v>
      </c>
      <c r="D103" s="42" t="s">
        <v>489</v>
      </c>
      <c r="E103" s="42" t="s">
        <v>189</v>
      </c>
      <c r="F103" s="42" t="s">
        <v>561</v>
      </c>
      <c r="G103" s="42">
        <v>15</v>
      </c>
      <c r="H103" s="42" t="s">
        <v>36</v>
      </c>
      <c r="I103" s="42" t="s">
        <v>356</v>
      </c>
      <c r="J103" s="42" t="s">
        <v>356</v>
      </c>
      <c r="K103" s="42" t="s">
        <v>356</v>
      </c>
      <c r="L103" s="42" t="s">
        <v>356</v>
      </c>
      <c r="M103" s="42" t="s">
        <v>365</v>
      </c>
      <c r="N103" s="42" t="s">
        <v>104</v>
      </c>
      <c r="O103" s="42" t="s">
        <v>491</v>
      </c>
    </row>
    <row r="104" spans="1:15" ht="15" customHeight="1" x14ac:dyDescent="0.25">
      <c r="A104" s="42">
        <v>46159</v>
      </c>
      <c r="B104" s="42" t="s">
        <v>427</v>
      </c>
      <c r="C104" s="42" t="s">
        <v>428</v>
      </c>
      <c r="D104" s="42" t="s">
        <v>191</v>
      </c>
      <c r="E104" s="42" t="s">
        <v>189</v>
      </c>
      <c r="F104" s="42" t="s">
        <v>562</v>
      </c>
      <c r="G104" s="42">
        <v>8</v>
      </c>
      <c r="H104" s="42" t="s">
        <v>36</v>
      </c>
      <c r="I104" s="42" t="s">
        <v>356</v>
      </c>
      <c r="J104" s="42" t="s">
        <v>356</v>
      </c>
      <c r="K104" s="42" t="s">
        <v>356</v>
      </c>
      <c r="L104" s="42" t="s">
        <v>356</v>
      </c>
      <c r="M104" s="42" t="s">
        <v>356</v>
      </c>
      <c r="N104" s="42" t="s">
        <v>121</v>
      </c>
      <c r="O104" s="42" t="s">
        <v>502</v>
      </c>
    </row>
    <row r="105" spans="1:15" ht="15" customHeight="1" x14ac:dyDescent="0.25">
      <c r="A105" s="42">
        <v>46159</v>
      </c>
      <c r="B105" s="42" t="s">
        <v>427</v>
      </c>
      <c r="C105" s="42" t="s">
        <v>428</v>
      </c>
      <c r="D105" s="42" t="s">
        <v>493</v>
      </c>
      <c r="E105" s="42" t="s">
        <v>76</v>
      </c>
      <c r="F105" s="42" t="s">
        <v>494</v>
      </c>
      <c r="G105" s="42">
        <v>5</v>
      </c>
      <c r="H105" s="42" t="s">
        <v>36</v>
      </c>
      <c r="I105" s="42" t="s">
        <v>356</v>
      </c>
      <c r="J105" s="42" t="s">
        <v>356</v>
      </c>
      <c r="K105" s="42" t="s">
        <v>356</v>
      </c>
      <c r="L105" s="42" t="s">
        <v>356</v>
      </c>
      <c r="M105" s="42" t="s">
        <v>356</v>
      </c>
      <c r="N105" s="42" t="s">
        <v>209</v>
      </c>
      <c r="O105" s="42" t="s">
        <v>495</v>
      </c>
    </row>
    <row r="106" spans="1:15" ht="15" customHeight="1" x14ac:dyDescent="0.25">
      <c r="A106" s="42">
        <v>46160</v>
      </c>
      <c r="B106" s="42" t="s">
        <v>431</v>
      </c>
      <c r="C106" s="42" t="s">
        <v>432</v>
      </c>
      <c r="D106" s="42" t="s">
        <v>478</v>
      </c>
      <c r="E106" s="42" t="s">
        <v>115</v>
      </c>
      <c r="F106" s="42" t="s">
        <v>563</v>
      </c>
      <c r="G106" s="42">
        <v>45</v>
      </c>
      <c r="H106" s="42" t="s">
        <v>480</v>
      </c>
      <c r="I106" s="42" t="s">
        <v>356</v>
      </c>
      <c r="J106" s="42" t="s">
        <v>356</v>
      </c>
      <c r="K106" s="42" t="s">
        <v>356</v>
      </c>
      <c r="L106" s="42" t="s">
        <v>356</v>
      </c>
      <c r="M106" s="42" t="s">
        <v>481</v>
      </c>
      <c r="N106" s="42" t="s">
        <v>412</v>
      </c>
      <c r="O106" s="42" t="s">
        <v>482</v>
      </c>
    </row>
    <row r="107" spans="1:15" ht="15" customHeight="1" x14ac:dyDescent="0.25">
      <c r="A107" s="42">
        <v>46160</v>
      </c>
      <c r="B107" s="42" t="s">
        <v>431</v>
      </c>
      <c r="C107" s="42" t="s">
        <v>432</v>
      </c>
      <c r="D107" s="42" t="s">
        <v>483</v>
      </c>
      <c r="E107" s="42" t="s">
        <v>484</v>
      </c>
      <c r="F107" s="42" t="s">
        <v>564</v>
      </c>
      <c r="G107" s="42">
        <v>20</v>
      </c>
      <c r="H107" s="42" t="s">
        <v>36</v>
      </c>
      <c r="I107" s="42" t="s">
        <v>356</v>
      </c>
      <c r="J107" s="42" t="s">
        <v>365</v>
      </c>
      <c r="K107" s="42" t="s">
        <v>356</v>
      </c>
      <c r="L107" s="42" t="s">
        <v>356</v>
      </c>
      <c r="M107" s="42" t="s">
        <v>481</v>
      </c>
      <c r="N107" s="42" t="s">
        <v>104</v>
      </c>
      <c r="O107" s="42" t="s">
        <v>486</v>
      </c>
    </row>
    <row r="108" spans="1:15" ht="15" customHeight="1" x14ac:dyDescent="0.25">
      <c r="A108" s="42">
        <v>46160</v>
      </c>
      <c r="B108" s="42" t="s">
        <v>431</v>
      </c>
      <c r="C108" s="42" t="s">
        <v>432</v>
      </c>
      <c r="D108" s="42" t="s">
        <v>47</v>
      </c>
      <c r="E108" s="42" t="s">
        <v>487</v>
      </c>
      <c r="F108" s="42" t="s">
        <v>488</v>
      </c>
      <c r="G108" s="42">
        <v>10</v>
      </c>
      <c r="H108" s="42" t="s">
        <v>36</v>
      </c>
      <c r="I108" s="42" t="s">
        <v>356</v>
      </c>
      <c r="J108" s="42" t="s">
        <v>356</v>
      </c>
      <c r="K108" s="42" t="s">
        <v>356</v>
      </c>
      <c r="L108" s="42" t="s">
        <v>365</v>
      </c>
      <c r="M108" s="42" t="s">
        <v>481</v>
      </c>
      <c r="N108" s="42" t="s">
        <v>104</v>
      </c>
      <c r="O108" s="42" t="s">
        <v>499</v>
      </c>
    </row>
    <row r="109" spans="1:15" ht="15" customHeight="1" x14ac:dyDescent="0.25">
      <c r="A109" s="42">
        <v>46160</v>
      </c>
      <c r="B109" s="42" t="s">
        <v>431</v>
      </c>
      <c r="C109" s="42" t="s">
        <v>432</v>
      </c>
      <c r="D109" s="42" t="s">
        <v>489</v>
      </c>
      <c r="E109" s="42" t="s">
        <v>189</v>
      </c>
      <c r="F109" s="42" t="s">
        <v>565</v>
      </c>
      <c r="G109" s="42">
        <v>15</v>
      </c>
      <c r="H109" s="42" t="s">
        <v>36</v>
      </c>
      <c r="I109" s="42" t="s">
        <v>356</v>
      </c>
      <c r="J109" s="42" t="s">
        <v>356</v>
      </c>
      <c r="K109" s="42" t="s">
        <v>356</v>
      </c>
      <c r="L109" s="42" t="s">
        <v>356</v>
      </c>
      <c r="M109" s="42" t="s">
        <v>365</v>
      </c>
      <c r="N109" s="42" t="s">
        <v>104</v>
      </c>
      <c r="O109" s="42" t="s">
        <v>491</v>
      </c>
    </row>
    <row r="110" spans="1:15" ht="15" customHeight="1" x14ac:dyDescent="0.25">
      <c r="A110" s="42">
        <v>46160</v>
      </c>
      <c r="B110" s="42" t="s">
        <v>431</v>
      </c>
      <c r="C110" s="42" t="s">
        <v>432</v>
      </c>
      <c r="D110" s="42" t="s">
        <v>191</v>
      </c>
      <c r="E110" s="42" t="s">
        <v>189</v>
      </c>
      <c r="F110" s="42" t="s">
        <v>566</v>
      </c>
      <c r="G110" s="42">
        <v>8</v>
      </c>
      <c r="H110" s="42" t="s">
        <v>36</v>
      </c>
      <c r="I110" s="42" t="s">
        <v>356</v>
      </c>
      <c r="J110" s="42" t="s">
        <v>356</v>
      </c>
      <c r="K110" s="42" t="s">
        <v>356</v>
      </c>
      <c r="L110" s="42" t="s">
        <v>356</v>
      </c>
      <c r="M110" s="42" t="s">
        <v>356</v>
      </c>
      <c r="N110" s="42" t="s">
        <v>121</v>
      </c>
      <c r="O110" s="42" t="s">
        <v>502</v>
      </c>
    </row>
    <row r="111" spans="1:15" ht="15" customHeight="1" x14ac:dyDescent="0.25">
      <c r="A111" s="42">
        <v>46160</v>
      </c>
      <c r="B111" s="42" t="s">
        <v>431</v>
      </c>
      <c r="C111" s="42" t="s">
        <v>432</v>
      </c>
      <c r="D111" s="42" t="s">
        <v>493</v>
      </c>
      <c r="E111" s="42" t="s">
        <v>76</v>
      </c>
      <c r="F111" s="42" t="s">
        <v>494</v>
      </c>
      <c r="G111" s="42">
        <v>5</v>
      </c>
      <c r="H111" s="42" t="s">
        <v>36</v>
      </c>
      <c r="I111" s="42" t="s">
        <v>356</v>
      </c>
      <c r="J111" s="42" t="s">
        <v>356</v>
      </c>
      <c r="K111" s="42" t="s">
        <v>356</v>
      </c>
      <c r="L111" s="42" t="s">
        <v>356</v>
      </c>
      <c r="M111" s="42" t="s">
        <v>356</v>
      </c>
      <c r="N111" s="42" t="s">
        <v>209</v>
      </c>
      <c r="O111" s="42" t="s">
        <v>495</v>
      </c>
    </row>
    <row r="112" spans="1:15" ht="15" customHeight="1" x14ac:dyDescent="0.25">
      <c r="A112" s="42">
        <v>46161</v>
      </c>
      <c r="B112" s="42" t="s">
        <v>434</v>
      </c>
      <c r="C112" s="42" t="s">
        <v>435</v>
      </c>
      <c r="D112" s="42" t="s">
        <v>478</v>
      </c>
      <c r="E112" s="42" t="s">
        <v>115</v>
      </c>
      <c r="F112" s="42" t="s">
        <v>567</v>
      </c>
      <c r="G112" s="42">
        <v>45</v>
      </c>
      <c r="H112" s="42" t="s">
        <v>480</v>
      </c>
      <c r="I112" s="42" t="s">
        <v>356</v>
      </c>
      <c r="J112" s="42" t="s">
        <v>356</v>
      </c>
      <c r="K112" s="42" t="s">
        <v>356</v>
      </c>
      <c r="L112" s="42" t="s">
        <v>356</v>
      </c>
      <c r="M112" s="42" t="s">
        <v>481</v>
      </c>
      <c r="N112" s="42" t="s">
        <v>412</v>
      </c>
      <c r="O112" s="42" t="s">
        <v>482</v>
      </c>
    </row>
    <row r="113" spans="1:15" ht="15" customHeight="1" x14ac:dyDescent="0.25">
      <c r="A113" s="42">
        <v>46161</v>
      </c>
      <c r="B113" s="42" t="s">
        <v>434</v>
      </c>
      <c r="C113" s="42" t="s">
        <v>435</v>
      </c>
      <c r="D113" s="42" t="s">
        <v>483</v>
      </c>
      <c r="E113" s="42" t="s">
        <v>484</v>
      </c>
      <c r="F113" s="42" t="s">
        <v>568</v>
      </c>
      <c r="G113" s="42">
        <v>20</v>
      </c>
      <c r="H113" s="42" t="s">
        <v>480</v>
      </c>
      <c r="I113" s="42" t="s">
        <v>356</v>
      </c>
      <c r="J113" s="42" t="s">
        <v>356</v>
      </c>
      <c r="K113" s="42" t="s">
        <v>356</v>
      </c>
      <c r="L113" s="42" t="s">
        <v>356</v>
      </c>
      <c r="M113" s="42" t="s">
        <v>481</v>
      </c>
      <c r="N113" s="42" t="s">
        <v>412</v>
      </c>
      <c r="O113" s="42" t="s">
        <v>482</v>
      </c>
    </row>
    <row r="114" spans="1:15" ht="15" customHeight="1" x14ac:dyDescent="0.25">
      <c r="A114" s="42">
        <v>46161</v>
      </c>
      <c r="B114" s="42" t="s">
        <v>434</v>
      </c>
      <c r="C114" s="42" t="s">
        <v>435</v>
      </c>
      <c r="D114" s="42" t="s">
        <v>47</v>
      </c>
      <c r="E114" s="42" t="s">
        <v>487</v>
      </c>
      <c r="F114" s="42" t="s">
        <v>488</v>
      </c>
      <c r="G114" s="42">
        <v>10</v>
      </c>
      <c r="H114" s="42" t="s">
        <v>480</v>
      </c>
      <c r="I114" s="42" t="s">
        <v>356</v>
      </c>
      <c r="J114" s="42" t="s">
        <v>356</v>
      </c>
      <c r="K114" s="42" t="s">
        <v>356</v>
      </c>
      <c r="L114" s="42" t="s">
        <v>356</v>
      </c>
      <c r="M114" s="42" t="s">
        <v>481</v>
      </c>
      <c r="N114" s="42" t="s">
        <v>412</v>
      </c>
      <c r="O114" s="42" t="s">
        <v>482</v>
      </c>
    </row>
    <row r="115" spans="1:15" ht="15" customHeight="1" x14ac:dyDescent="0.25">
      <c r="A115" s="42">
        <v>46161</v>
      </c>
      <c r="B115" s="42" t="s">
        <v>434</v>
      </c>
      <c r="C115" s="42" t="s">
        <v>435</v>
      </c>
      <c r="D115" s="42" t="s">
        <v>489</v>
      </c>
      <c r="E115" s="42" t="s">
        <v>189</v>
      </c>
      <c r="F115" s="42" t="s">
        <v>569</v>
      </c>
      <c r="G115" s="42">
        <v>15</v>
      </c>
      <c r="H115" s="42" t="s">
        <v>36</v>
      </c>
      <c r="I115" s="42" t="s">
        <v>356</v>
      </c>
      <c r="J115" s="42" t="s">
        <v>356</v>
      </c>
      <c r="K115" s="42" t="s">
        <v>356</v>
      </c>
      <c r="L115" s="42" t="s">
        <v>356</v>
      </c>
      <c r="M115" s="42" t="s">
        <v>365</v>
      </c>
      <c r="N115" s="42" t="s">
        <v>104</v>
      </c>
      <c r="O115" s="42" t="s">
        <v>491</v>
      </c>
    </row>
    <row r="116" spans="1:15" ht="15" customHeight="1" x14ac:dyDescent="0.25">
      <c r="A116" s="42">
        <v>46161</v>
      </c>
      <c r="B116" s="42" t="s">
        <v>434</v>
      </c>
      <c r="C116" s="42" t="s">
        <v>435</v>
      </c>
      <c r="D116" s="42" t="s">
        <v>191</v>
      </c>
      <c r="E116" s="42" t="s">
        <v>189</v>
      </c>
      <c r="F116" s="42" t="s">
        <v>570</v>
      </c>
      <c r="G116" s="42">
        <v>8</v>
      </c>
      <c r="H116" s="42" t="s">
        <v>36</v>
      </c>
      <c r="I116" s="42" t="s">
        <v>356</v>
      </c>
      <c r="J116" s="42" t="s">
        <v>356</v>
      </c>
      <c r="K116" s="42" t="s">
        <v>356</v>
      </c>
      <c r="L116" s="42" t="s">
        <v>356</v>
      </c>
      <c r="M116" s="42" t="s">
        <v>356</v>
      </c>
      <c r="N116" s="42" t="s">
        <v>121</v>
      </c>
      <c r="O116" s="42" t="s">
        <v>502</v>
      </c>
    </row>
    <row r="117" spans="1:15" ht="15" customHeight="1" x14ac:dyDescent="0.25">
      <c r="A117" s="42">
        <v>46161</v>
      </c>
      <c r="B117" s="42" t="s">
        <v>434</v>
      </c>
      <c r="C117" s="42" t="s">
        <v>435</v>
      </c>
      <c r="D117" s="42" t="s">
        <v>493</v>
      </c>
      <c r="E117" s="42" t="s">
        <v>76</v>
      </c>
      <c r="F117" s="42" t="s">
        <v>494</v>
      </c>
      <c r="G117" s="42">
        <v>5</v>
      </c>
      <c r="H117" s="42" t="s">
        <v>36</v>
      </c>
      <c r="I117" s="42" t="s">
        <v>356</v>
      </c>
      <c r="J117" s="42" t="s">
        <v>356</v>
      </c>
      <c r="K117" s="42" t="s">
        <v>356</v>
      </c>
      <c r="L117" s="42" t="s">
        <v>356</v>
      </c>
      <c r="M117" s="42" t="s">
        <v>356</v>
      </c>
      <c r="N117" s="42" t="s">
        <v>209</v>
      </c>
      <c r="O117" s="42" t="s">
        <v>495</v>
      </c>
    </row>
    <row r="118" spans="1:15" ht="15" customHeight="1" x14ac:dyDescent="0.25">
      <c r="A118" s="42">
        <v>46162</v>
      </c>
      <c r="B118" s="42" t="s">
        <v>438</v>
      </c>
      <c r="C118" s="42" t="s">
        <v>439</v>
      </c>
      <c r="D118" s="42" t="s">
        <v>478</v>
      </c>
      <c r="E118" s="42" t="s">
        <v>115</v>
      </c>
      <c r="F118" s="42" t="s">
        <v>571</v>
      </c>
      <c r="G118" s="42">
        <v>45</v>
      </c>
      <c r="H118" s="42" t="s">
        <v>480</v>
      </c>
      <c r="I118" s="42" t="s">
        <v>356</v>
      </c>
      <c r="J118" s="42" t="s">
        <v>356</v>
      </c>
      <c r="K118" s="42" t="s">
        <v>356</v>
      </c>
      <c r="L118" s="42" t="s">
        <v>356</v>
      </c>
      <c r="M118" s="42" t="s">
        <v>481</v>
      </c>
      <c r="N118" s="42" t="s">
        <v>412</v>
      </c>
      <c r="O118" s="42" t="s">
        <v>482</v>
      </c>
    </row>
    <row r="119" spans="1:15" ht="15" customHeight="1" x14ac:dyDescent="0.25">
      <c r="A119" s="42">
        <v>46162</v>
      </c>
      <c r="B119" s="42" t="s">
        <v>438</v>
      </c>
      <c r="C119" s="42" t="s">
        <v>439</v>
      </c>
      <c r="D119" s="42" t="s">
        <v>483</v>
      </c>
      <c r="E119" s="42" t="s">
        <v>484</v>
      </c>
      <c r="F119" s="42" t="s">
        <v>572</v>
      </c>
      <c r="G119" s="42">
        <v>20</v>
      </c>
      <c r="H119" s="42" t="s">
        <v>480</v>
      </c>
      <c r="I119" s="42" t="s">
        <v>356</v>
      </c>
      <c r="J119" s="42" t="s">
        <v>356</v>
      </c>
      <c r="K119" s="42" t="s">
        <v>356</v>
      </c>
      <c r="L119" s="42" t="s">
        <v>356</v>
      </c>
      <c r="M119" s="42" t="s">
        <v>481</v>
      </c>
      <c r="N119" s="42" t="s">
        <v>412</v>
      </c>
      <c r="O119" s="42" t="s">
        <v>482</v>
      </c>
    </row>
    <row r="120" spans="1:15" ht="15" customHeight="1" x14ac:dyDescent="0.25">
      <c r="A120" s="42">
        <v>46162</v>
      </c>
      <c r="B120" s="42" t="s">
        <v>438</v>
      </c>
      <c r="C120" s="42" t="s">
        <v>439</v>
      </c>
      <c r="D120" s="42" t="s">
        <v>47</v>
      </c>
      <c r="E120" s="42" t="s">
        <v>487</v>
      </c>
      <c r="F120" s="42" t="s">
        <v>488</v>
      </c>
      <c r="G120" s="42">
        <v>10</v>
      </c>
      <c r="H120" s="42" t="s">
        <v>480</v>
      </c>
      <c r="I120" s="42" t="s">
        <v>356</v>
      </c>
      <c r="J120" s="42" t="s">
        <v>356</v>
      </c>
      <c r="K120" s="42" t="s">
        <v>356</v>
      </c>
      <c r="L120" s="42" t="s">
        <v>356</v>
      </c>
      <c r="M120" s="42" t="s">
        <v>481</v>
      </c>
      <c r="N120" s="42" t="s">
        <v>412</v>
      </c>
      <c r="O120" s="42" t="s">
        <v>482</v>
      </c>
    </row>
    <row r="121" spans="1:15" ht="15" customHeight="1" x14ac:dyDescent="0.25">
      <c r="A121" s="42">
        <v>46162</v>
      </c>
      <c r="B121" s="42" t="s">
        <v>438</v>
      </c>
      <c r="C121" s="42" t="s">
        <v>439</v>
      </c>
      <c r="D121" s="42" t="s">
        <v>489</v>
      </c>
      <c r="E121" s="42" t="s">
        <v>189</v>
      </c>
      <c r="F121" s="42" t="s">
        <v>573</v>
      </c>
      <c r="G121" s="42">
        <v>15</v>
      </c>
      <c r="H121" s="42" t="s">
        <v>36</v>
      </c>
      <c r="I121" s="42" t="s">
        <v>356</v>
      </c>
      <c r="J121" s="42" t="s">
        <v>356</v>
      </c>
      <c r="K121" s="42" t="s">
        <v>356</v>
      </c>
      <c r="L121" s="42" t="s">
        <v>356</v>
      </c>
      <c r="M121" s="42" t="s">
        <v>365</v>
      </c>
      <c r="N121" s="42" t="s">
        <v>104</v>
      </c>
      <c r="O121" s="42" t="s">
        <v>491</v>
      </c>
    </row>
    <row r="122" spans="1:15" ht="15" customHeight="1" x14ac:dyDescent="0.25">
      <c r="A122" s="42">
        <v>46162</v>
      </c>
      <c r="B122" s="42" t="s">
        <v>438</v>
      </c>
      <c r="C122" s="42" t="s">
        <v>439</v>
      </c>
      <c r="D122" s="42" t="s">
        <v>191</v>
      </c>
      <c r="E122" s="42" t="s">
        <v>189</v>
      </c>
      <c r="F122" s="42" t="s">
        <v>574</v>
      </c>
      <c r="G122" s="42">
        <v>8</v>
      </c>
      <c r="H122" s="42" t="s">
        <v>36</v>
      </c>
      <c r="I122" s="42" t="s">
        <v>356</v>
      </c>
      <c r="J122" s="42" t="s">
        <v>356</v>
      </c>
      <c r="K122" s="42" t="s">
        <v>356</v>
      </c>
      <c r="L122" s="42" t="s">
        <v>356</v>
      </c>
      <c r="M122" s="42" t="s">
        <v>356</v>
      </c>
      <c r="N122" s="42" t="s">
        <v>121</v>
      </c>
      <c r="O122" s="42" t="s">
        <v>502</v>
      </c>
    </row>
    <row r="123" spans="1:15" ht="15" customHeight="1" x14ac:dyDescent="0.25">
      <c r="A123" s="42">
        <v>46162</v>
      </c>
      <c r="B123" s="42" t="s">
        <v>438</v>
      </c>
      <c r="C123" s="42" t="s">
        <v>439</v>
      </c>
      <c r="D123" s="42" t="s">
        <v>493</v>
      </c>
      <c r="E123" s="42" t="s">
        <v>76</v>
      </c>
      <c r="F123" s="42" t="s">
        <v>494</v>
      </c>
      <c r="G123" s="42">
        <v>5</v>
      </c>
      <c r="H123" s="42" t="s">
        <v>36</v>
      </c>
      <c r="I123" s="42" t="s">
        <v>356</v>
      </c>
      <c r="J123" s="42" t="s">
        <v>356</v>
      </c>
      <c r="K123" s="42" t="s">
        <v>356</v>
      </c>
      <c r="L123" s="42" t="s">
        <v>356</v>
      </c>
      <c r="M123" s="42" t="s">
        <v>356</v>
      </c>
      <c r="N123" s="42" t="s">
        <v>209</v>
      </c>
      <c r="O123" s="42" t="s">
        <v>495</v>
      </c>
    </row>
    <row r="124" spans="1:15" ht="15" customHeight="1" x14ac:dyDescent="0.25">
      <c r="A124" s="42">
        <v>46163</v>
      </c>
      <c r="B124" s="42" t="s">
        <v>442</v>
      </c>
      <c r="C124" s="42" t="s">
        <v>443</v>
      </c>
      <c r="D124" s="42" t="s">
        <v>478</v>
      </c>
      <c r="E124" s="42" t="s">
        <v>115</v>
      </c>
      <c r="F124" s="42" t="s">
        <v>575</v>
      </c>
      <c r="G124" s="42">
        <v>45</v>
      </c>
      <c r="H124" s="42" t="s">
        <v>480</v>
      </c>
      <c r="I124" s="42" t="s">
        <v>356</v>
      </c>
      <c r="J124" s="42" t="s">
        <v>356</v>
      </c>
      <c r="K124" s="42" t="s">
        <v>356</v>
      </c>
      <c r="L124" s="42" t="s">
        <v>356</v>
      </c>
      <c r="M124" s="42" t="s">
        <v>481</v>
      </c>
      <c r="N124" s="42" t="s">
        <v>412</v>
      </c>
      <c r="O124" s="42" t="s">
        <v>482</v>
      </c>
    </row>
    <row r="125" spans="1:15" ht="15" customHeight="1" x14ac:dyDescent="0.25">
      <c r="A125" s="42">
        <v>46163</v>
      </c>
      <c r="B125" s="42" t="s">
        <v>442</v>
      </c>
      <c r="C125" s="42" t="s">
        <v>443</v>
      </c>
      <c r="D125" s="42" t="s">
        <v>483</v>
      </c>
      <c r="E125" s="42" t="s">
        <v>484</v>
      </c>
      <c r="F125" s="42" t="s">
        <v>576</v>
      </c>
      <c r="G125" s="42">
        <v>20</v>
      </c>
      <c r="H125" s="42" t="s">
        <v>480</v>
      </c>
      <c r="I125" s="42" t="s">
        <v>356</v>
      </c>
      <c r="J125" s="42" t="s">
        <v>356</v>
      </c>
      <c r="K125" s="42" t="s">
        <v>356</v>
      </c>
      <c r="L125" s="42" t="s">
        <v>356</v>
      </c>
      <c r="M125" s="42" t="s">
        <v>481</v>
      </c>
      <c r="N125" s="42" t="s">
        <v>412</v>
      </c>
      <c r="O125" s="42" t="s">
        <v>482</v>
      </c>
    </row>
    <row r="126" spans="1:15" ht="15" customHeight="1" x14ac:dyDescent="0.25">
      <c r="A126" s="42">
        <v>46163</v>
      </c>
      <c r="B126" s="42" t="s">
        <v>442</v>
      </c>
      <c r="C126" s="42" t="s">
        <v>443</v>
      </c>
      <c r="D126" s="42" t="s">
        <v>47</v>
      </c>
      <c r="E126" s="42" t="s">
        <v>487</v>
      </c>
      <c r="F126" s="42" t="s">
        <v>488</v>
      </c>
      <c r="G126" s="42">
        <v>10</v>
      </c>
      <c r="H126" s="42" t="s">
        <v>36</v>
      </c>
      <c r="I126" s="42" t="s">
        <v>356</v>
      </c>
      <c r="J126" s="42" t="s">
        <v>356</v>
      </c>
      <c r="K126" s="42" t="s">
        <v>356</v>
      </c>
      <c r="L126" s="42" t="s">
        <v>365</v>
      </c>
      <c r="M126" s="42" t="s">
        <v>481</v>
      </c>
      <c r="N126" s="42" t="s">
        <v>104</v>
      </c>
      <c r="O126" s="42" t="s">
        <v>499</v>
      </c>
    </row>
    <row r="127" spans="1:15" ht="15" customHeight="1" x14ac:dyDescent="0.25">
      <c r="A127" s="42">
        <v>46163</v>
      </c>
      <c r="B127" s="42" t="s">
        <v>442</v>
      </c>
      <c r="C127" s="42" t="s">
        <v>443</v>
      </c>
      <c r="D127" s="42" t="s">
        <v>489</v>
      </c>
      <c r="E127" s="42" t="s">
        <v>189</v>
      </c>
      <c r="F127" s="42" t="s">
        <v>577</v>
      </c>
      <c r="G127" s="42">
        <v>15</v>
      </c>
      <c r="H127" s="42" t="s">
        <v>36</v>
      </c>
      <c r="I127" s="42" t="s">
        <v>356</v>
      </c>
      <c r="J127" s="42" t="s">
        <v>356</v>
      </c>
      <c r="K127" s="42" t="s">
        <v>356</v>
      </c>
      <c r="L127" s="42" t="s">
        <v>356</v>
      </c>
      <c r="M127" s="42" t="s">
        <v>365</v>
      </c>
      <c r="N127" s="42" t="s">
        <v>104</v>
      </c>
      <c r="O127" s="42" t="s">
        <v>491</v>
      </c>
    </row>
    <row r="128" spans="1:15" ht="15" customHeight="1" x14ac:dyDescent="0.25">
      <c r="A128" s="42">
        <v>46163</v>
      </c>
      <c r="B128" s="42" t="s">
        <v>442</v>
      </c>
      <c r="C128" s="42" t="s">
        <v>443</v>
      </c>
      <c r="D128" s="42" t="s">
        <v>191</v>
      </c>
      <c r="E128" s="42" t="s">
        <v>189</v>
      </c>
      <c r="F128" s="42" t="s">
        <v>578</v>
      </c>
      <c r="G128" s="42">
        <v>8</v>
      </c>
      <c r="H128" s="42" t="s">
        <v>36</v>
      </c>
      <c r="I128" s="42" t="s">
        <v>356</v>
      </c>
      <c r="J128" s="42" t="s">
        <v>356</v>
      </c>
      <c r="K128" s="42" t="s">
        <v>356</v>
      </c>
      <c r="L128" s="42" t="s">
        <v>356</v>
      </c>
      <c r="M128" s="42" t="s">
        <v>356</v>
      </c>
      <c r="N128" s="42" t="s">
        <v>121</v>
      </c>
      <c r="O128" s="42" t="s">
        <v>502</v>
      </c>
    </row>
    <row r="129" spans="1:15" ht="15" customHeight="1" x14ac:dyDescent="0.25">
      <c r="A129" s="42">
        <v>46163</v>
      </c>
      <c r="B129" s="42" t="s">
        <v>442</v>
      </c>
      <c r="C129" s="42" t="s">
        <v>443</v>
      </c>
      <c r="D129" s="42" t="s">
        <v>493</v>
      </c>
      <c r="E129" s="42" t="s">
        <v>76</v>
      </c>
      <c r="F129" s="42" t="s">
        <v>494</v>
      </c>
      <c r="G129" s="42">
        <v>5</v>
      </c>
      <c r="H129" s="42" t="s">
        <v>36</v>
      </c>
      <c r="I129" s="42" t="s">
        <v>356</v>
      </c>
      <c r="J129" s="42" t="s">
        <v>356</v>
      </c>
      <c r="K129" s="42" t="s">
        <v>356</v>
      </c>
      <c r="L129" s="42" t="s">
        <v>356</v>
      </c>
      <c r="M129" s="42" t="s">
        <v>356</v>
      </c>
      <c r="N129" s="42" t="s">
        <v>209</v>
      </c>
      <c r="O129" s="42" t="s">
        <v>495</v>
      </c>
    </row>
    <row r="130" spans="1:15" ht="15" customHeight="1" x14ac:dyDescent="0.25">
      <c r="A130" s="42">
        <v>46164</v>
      </c>
      <c r="B130" s="42" t="s">
        <v>445</v>
      </c>
      <c r="C130" s="42" t="s">
        <v>446</v>
      </c>
      <c r="D130" s="42" t="s">
        <v>478</v>
      </c>
      <c r="E130" s="42" t="s">
        <v>115</v>
      </c>
      <c r="F130" s="42" t="s">
        <v>579</v>
      </c>
      <c r="G130" s="42">
        <v>45</v>
      </c>
      <c r="H130" s="42" t="s">
        <v>36</v>
      </c>
      <c r="I130" s="42" t="s">
        <v>356</v>
      </c>
      <c r="J130" s="42" t="s">
        <v>356</v>
      </c>
      <c r="K130" s="42" t="s">
        <v>356</v>
      </c>
      <c r="L130" s="42" t="s">
        <v>356</v>
      </c>
      <c r="M130" s="42" t="s">
        <v>481</v>
      </c>
      <c r="N130" s="42" t="s">
        <v>104</v>
      </c>
      <c r="O130" s="42" t="s">
        <v>497</v>
      </c>
    </row>
    <row r="131" spans="1:15" ht="15" customHeight="1" x14ac:dyDescent="0.25">
      <c r="A131" s="42">
        <v>46164</v>
      </c>
      <c r="B131" s="42" t="s">
        <v>445</v>
      </c>
      <c r="C131" s="42" t="s">
        <v>446</v>
      </c>
      <c r="D131" s="42" t="s">
        <v>483</v>
      </c>
      <c r="E131" s="42" t="s">
        <v>484</v>
      </c>
      <c r="F131" s="42" t="s">
        <v>580</v>
      </c>
      <c r="G131" s="42">
        <v>20</v>
      </c>
      <c r="H131" s="42" t="s">
        <v>36</v>
      </c>
      <c r="I131" s="42" t="s">
        <v>365</v>
      </c>
      <c r="J131" s="42" t="s">
        <v>365</v>
      </c>
      <c r="K131" s="42" t="s">
        <v>356</v>
      </c>
      <c r="L131" s="42" t="s">
        <v>356</v>
      </c>
      <c r="M131" s="42" t="s">
        <v>481</v>
      </c>
      <c r="N131" s="42" t="s">
        <v>104</v>
      </c>
      <c r="O131" s="42" t="s">
        <v>486</v>
      </c>
    </row>
    <row r="132" spans="1:15" ht="15" customHeight="1" x14ac:dyDescent="0.25">
      <c r="A132" s="42">
        <v>46164</v>
      </c>
      <c r="B132" s="42" t="s">
        <v>445</v>
      </c>
      <c r="C132" s="42" t="s">
        <v>446</v>
      </c>
      <c r="D132" s="42" t="s">
        <v>47</v>
      </c>
      <c r="E132" s="42" t="s">
        <v>487</v>
      </c>
      <c r="F132" s="42" t="s">
        <v>488</v>
      </c>
      <c r="G132" s="42">
        <v>10</v>
      </c>
      <c r="H132" s="42" t="s">
        <v>36</v>
      </c>
      <c r="I132" s="42" t="s">
        <v>356</v>
      </c>
      <c r="J132" s="42" t="s">
        <v>356</v>
      </c>
      <c r="K132" s="42" t="s">
        <v>356</v>
      </c>
      <c r="L132" s="42" t="s">
        <v>365</v>
      </c>
      <c r="M132" s="42" t="s">
        <v>481</v>
      </c>
      <c r="N132" s="42" t="s">
        <v>104</v>
      </c>
      <c r="O132" s="42" t="s">
        <v>499</v>
      </c>
    </row>
    <row r="133" spans="1:15" ht="15" customHeight="1" x14ac:dyDescent="0.25">
      <c r="A133" s="42">
        <v>46164</v>
      </c>
      <c r="B133" s="42" t="s">
        <v>445</v>
      </c>
      <c r="C133" s="42" t="s">
        <v>446</v>
      </c>
      <c r="D133" s="42" t="s">
        <v>489</v>
      </c>
      <c r="E133" s="42" t="s">
        <v>189</v>
      </c>
      <c r="F133" s="42" t="s">
        <v>581</v>
      </c>
      <c r="G133" s="42">
        <v>15</v>
      </c>
      <c r="H133" s="42" t="s">
        <v>36</v>
      </c>
      <c r="I133" s="42" t="s">
        <v>356</v>
      </c>
      <c r="J133" s="42" t="s">
        <v>356</v>
      </c>
      <c r="K133" s="42" t="s">
        <v>356</v>
      </c>
      <c r="L133" s="42" t="s">
        <v>356</v>
      </c>
      <c r="M133" s="42" t="s">
        <v>365</v>
      </c>
      <c r="N133" s="42" t="s">
        <v>104</v>
      </c>
      <c r="O133" s="42" t="s">
        <v>491</v>
      </c>
    </row>
    <row r="134" spans="1:15" ht="15" customHeight="1" x14ac:dyDescent="0.25">
      <c r="A134" s="42">
        <v>46164</v>
      </c>
      <c r="B134" s="42" t="s">
        <v>445</v>
      </c>
      <c r="C134" s="42" t="s">
        <v>446</v>
      </c>
      <c r="D134" s="42" t="s">
        <v>191</v>
      </c>
      <c r="E134" s="42" t="s">
        <v>189</v>
      </c>
      <c r="F134" s="42" t="s">
        <v>582</v>
      </c>
      <c r="G134" s="42">
        <v>8</v>
      </c>
      <c r="H134" s="42" t="s">
        <v>36</v>
      </c>
      <c r="I134" s="42" t="s">
        <v>356</v>
      </c>
      <c r="J134" s="42" t="s">
        <v>356</v>
      </c>
      <c r="K134" s="42" t="s">
        <v>356</v>
      </c>
      <c r="L134" s="42" t="s">
        <v>356</v>
      </c>
      <c r="M134" s="42" t="s">
        <v>356</v>
      </c>
      <c r="N134" s="42" t="s">
        <v>121</v>
      </c>
      <c r="O134" s="42" t="s">
        <v>502</v>
      </c>
    </row>
    <row r="135" spans="1:15" ht="15" customHeight="1" x14ac:dyDescent="0.25">
      <c r="A135" s="42">
        <v>46164</v>
      </c>
      <c r="B135" s="42" t="s">
        <v>445</v>
      </c>
      <c r="C135" s="42" t="s">
        <v>446</v>
      </c>
      <c r="D135" s="42" t="s">
        <v>493</v>
      </c>
      <c r="E135" s="42" t="s">
        <v>76</v>
      </c>
      <c r="F135" s="42" t="s">
        <v>494</v>
      </c>
      <c r="G135" s="42">
        <v>5</v>
      </c>
      <c r="H135" s="42" t="s">
        <v>36</v>
      </c>
      <c r="I135" s="42" t="s">
        <v>356</v>
      </c>
      <c r="J135" s="42" t="s">
        <v>356</v>
      </c>
      <c r="K135" s="42" t="s">
        <v>356</v>
      </c>
      <c r="L135" s="42" t="s">
        <v>356</v>
      </c>
      <c r="M135" s="42" t="s">
        <v>356</v>
      </c>
      <c r="N135" s="42" t="s">
        <v>209</v>
      </c>
      <c r="O135" s="42" t="s">
        <v>495</v>
      </c>
    </row>
    <row r="136" spans="1:15" ht="15" customHeight="1" x14ac:dyDescent="0.25">
      <c r="A136" s="42">
        <v>46165</v>
      </c>
      <c r="B136" s="42" t="s">
        <v>449</v>
      </c>
      <c r="C136" s="42" t="s">
        <v>450</v>
      </c>
      <c r="D136" s="42" t="s">
        <v>478</v>
      </c>
      <c r="E136" s="42" t="s">
        <v>115</v>
      </c>
      <c r="F136" s="42" t="s">
        <v>583</v>
      </c>
      <c r="G136" s="42">
        <v>45</v>
      </c>
      <c r="H136" s="42" t="s">
        <v>36</v>
      </c>
      <c r="I136" s="42" t="s">
        <v>356</v>
      </c>
      <c r="J136" s="42" t="s">
        <v>356</v>
      </c>
      <c r="K136" s="42" t="s">
        <v>356</v>
      </c>
      <c r="L136" s="42" t="s">
        <v>356</v>
      </c>
      <c r="M136" s="42" t="s">
        <v>481</v>
      </c>
      <c r="N136" s="42" t="s">
        <v>104</v>
      </c>
      <c r="O136" s="42" t="s">
        <v>497</v>
      </c>
    </row>
    <row r="137" spans="1:15" ht="15" customHeight="1" x14ac:dyDescent="0.25">
      <c r="A137" s="42">
        <v>46165</v>
      </c>
      <c r="B137" s="42" t="s">
        <v>449</v>
      </c>
      <c r="C137" s="42" t="s">
        <v>450</v>
      </c>
      <c r="D137" s="42" t="s">
        <v>483</v>
      </c>
      <c r="E137" s="42" t="s">
        <v>484</v>
      </c>
      <c r="F137" s="42" t="s">
        <v>584</v>
      </c>
      <c r="G137" s="42">
        <v>20</v>
      </c>
      <c r="H137" s="42" t="s">
        <v>36</v>
      </c>
      <c r="I137" s="42" t="s">
        <v>365</v>
      </c>
      <c r="J137" s="42" t="s">
        <v>365</v>
      </c>
      <c r="K137" s="42" t="s">
        <v>356</v>
      </c>
      <c r="L137" s="42" t="s">
        <v>356</v>
      </c>
      <c r="M137" s="42" t="s">
        <v>481</v>
      </c>
      <c r="N137" s="42" t="s">
        <v>104</v>
      </c>
      <c r="O137" s="42" t="s">
        <v>486</v>
      </c>
    </row>
    <row r="138" spans="1:15" ht="15" customHeight="1" x14ac:dyDescent="0.25">
      <c r="A138" s="42">
        <v>46165</v>
      </c>
      <c r="B138" s="42" t="s">
        <v>449</v>
      </c>
      <c r="C138" s="42" t="s">
        <v>450</v>
      </c>
      <c r="D138" s="42" t="s">
        <v>47</v>
      </c>
      <c r="E138" s="42" t="s">
        <v>487</v>
      </c>
      <c r="F138" s="42" t="s">
        <v>488</v>
      </c>
      <c r="G138" s="42">
        <v>10</v>
      </c>
      <c r="H138" s="42" t="s">
        <v>36</v>
      </c>
      <c r="I138" s="42" t="s">
        <v>356</v>
      </c>
      <c r="J138" s="42" t="s">
        <v>356</v>
      </c>
      <c r="K138" s="42" t="s">
        <v>356</v>
      </c>
      <c r="L138" s="42" t="s">
        <v>365</v>
      </c>
      <c r="M138" s="42" t="s">
        <v>481</v>
      </c>
      <c r="N138" s="42" t="s">
        <v>104</v>
      </c>
      <c r="O138" s="42" t="s">
        <v>499</v>
      </c>
    </row>
    <row r="139" spans="1:15" ht="15" customHeight="1" x14ac:dyDescent="0.25">
      <c r="A139" s="42">
        <v>46165</v>
      </c>
      <c r="B139" s="42" t="s">
        <v>449</v>
      </c>
      <c r="C139" s="42" t="s">
        <v>450</v>
      </c>
      <c r="D139" s="42" t="s">
        <v>489</v>
      </c>
      <c r="E139" s="42" t="s">
        <v>189</v>
      </c>
      <c r="F139" s="42" t="s">
        <v>585</v>
      </c>
      <c r="G139" s="42">
        <v>15</v>
      </c>
      <c r="H139" s="42" t="s">
        <v>36</v>
      </c>
      <c r="I139" s="42" t="s">
        <v>356</v>
      </c>
      <c r="J139" s="42" t="s">
        <v>356</v>
      </c>
      <c r="K139" s="42" t="s">
        <v>356</v>
      </c>
      <c r="L139" s="42" t="s">
        <v>356</v>
      </c>
      <c r="M139" s="42" t="s">
        <v>365</v>
      </c>
      <c r="N139" s="42" t="s">
        <v>104</v>
      </c>
      <c r="O139" s="42" t="s">
        <v>491</v>
      </c>
    </row>
    <row r="140" spans="1:15" ht="15" customHeight="1" x14ac:dyDescent="0.25">
      <c r="A140" s="42">
        <v>46165</v>
      </c>
      <c r="B140" s="42" t="s">
        <v>449</v>
      </c>
      <c r="C140" s="42" t="s">
        <v>450</v>
      </c>
      <c r="D140" s="42" t="s">
        <v>191</v>
      </c>
      <c r="E140" s="42" t="s">
        <v>189</v>
      </c>
      <c r="F140" s="42" t="s">
        <v>586</v>
      </c>
      <c r="G140" s="42">
        <v>8</v>
      </c>
      <c r="H140" s="42" t="s">
        <v>36</v>
      </c>
      <c r="I140" s="42" t="s">
        <v>356</v>
      </c>
      <c r="J140" s="42" t="s">
        <v>356</v>
      </c>
      <c r="K140" s="42" t="s">
        <v>356</v>
      </c>
      <c r="L140" s="42" t="s">
        <v>356</v>
      </c>
      <c r="M140" s="42" t="s">
        <v>356</v>
      </c>
      <c r="N140" s="42" t="s">
        <v>121</v>
      </c>
      <c r="O140" s="42" t="s">
        <v>502</v>
      </c>
    </row>
    <row r="141" spans="1:15" ht="15" customHeight="1" x14ac:dyDescent="0.25">
      <c r="A141" s="42">
        <v>46165</v>
      </c>
      <c r="B141" s="42" t="s">
        <v>449</v>
      </c>
      <c r="C141" s="42" t="s">
        <v>450</v>
      </c>
      <c r="D141" s="42" t="s">
        <v>493</v>
      </c>
      <c r="E141" s="42" t="s">
        <v>76</v>
      </c>
      <c r="F141" s="42" t="s">
        <v>494</v>
      </c>
      <c r="G141" s="42">
        <v>5</v>
      </c>
      <c r="H141" s="42" t="s">
        <v>36</v>
      </c>
      <c r="I141" s="42" t="s">
        <v>356</v>
      </c>
      <c r="J141" s="42" t="s">
        <v>356</v>
      </c>
      <c r="K141" s="42" t="s">
        <v>356</v>
      </c>
      <c r="L141" s="42" t="s">
        <v>356</v>
      </c>
      <c r="M141" s="42" t="s">
        <v>356</v>
      </c>
      <c r="N141" s="42" t="s">
        <v>209</v>
      </c>
      <c r="O141" s="42" t="s">
        <v>495</v>
      </c>
    </row>
    <row r="142" spans="1:15" ht="15" customHeight="1" x14ac:dyDescent="0.25">
      <c r="A142" s="42">
        <v>46166</v>
      </c>
      <c r="B142" s="42" t="s">
        <v>453</v>
      </c>
      <c r="C142" s="42" t="s">
        <v>454</v>
      </c>
      <c r="D142" s="42" t="s">
        <v>478</v>
      </c>
      <c r="E142" s="42" t="s">
        <v>115</v>
      </c>
      <c r="F142" s="42" t="s">
        <v>587</v>
      </c>
      <c r="G142" s="42">
        <v>45</v>
      </c>
      <c r="H142" s="42" t="s">
        <v>480</v>
      </c>
      <c r="I142" s="42" t="s">
        <v>356</v>
      </c>
      <c r="J142" s="42" t="s">
        <v>356</v>
      </c>
      <c r="K142" s="42" t="s">
        <v>356</v>
      </c>
      <c r="L142" s="42" t="s">
        <v>356</v>
      </c>
      <c r="M142" s="42" t="s">
        <v>481</v>
      </c>
      <c r="N142" s="42" t="s">
        <v>412</v>
      </c>
      <c r="O142" s="42" t="s">
        <v>482</v>
      </c>
    </row>
    <row r="143" spans="1:15" ht="15" customHeight="1" x14ac:dyDescent="0.25">
      <c r="A143" s="42">
        <v>46166</v>
      </c>
      <c r="B143" s="42" t="s">
        <v>453</v>
      </c>
      <c r="C143" s="42" t="s">
        <v>454</v>
      </c>
      <c r="D143" s="42" t="s">
        <v>483</v>
      </c>
      <c r="E143" s="42" t="s">
        <v>484</v>
      </c>
      <c r="F143" s="42" t="s">
        <v>588</v>
      </c>
      <c r="G143" s="42">
        <v>20</v>
      </c>
      <c r="H143" s="42" t="s">
        <v>480</v>
      </c>
      <c r="I143" s="42" t="s">
        <v>356</v>
      </c>
      <c r="J143" s="42" t="s">
        <v>356</v>
      </c>
      <c r="K143" s="42" t="s">
        <v>356</v>
      </c>
      <c r="L143" s="42" t="s">
        <v>356</v>
      </c>
      <c r="M143" s="42" t="s">
        <v>481</v>
      </c>
      <c r="N143" s="42" t="s">
        <v>412</v>
      </c>
      <c r="O143" s="42" t="s">
        <v>482</v>
      </c>
    </row>
    <row r="144" spans="1:15" ht="15" customHeight="1" x14ac:dyDescent="0.25">
      <c r="A144" s="42">
        <v>46166</v>
      </c>
      <c r="B144" s="42" t="s">
        <v>453</v>
      </c>
      <c r="C144" s="42" t="s">
        <v>454</v>
      </c>
      <c r="D144" s="42" t="s">
        <v>47</v>
      </c>
      <c r="E144" s="42" t="s">
        <v>487</v>
      </c>
      <c r="F144" s="42" t="s">
        <v>488</v>
      </c>
      <c r="G144" s="42">
        <v>10</v>
      </c>
      <c r="H144" s="42" t="s">
        <v>480</v>
      </c>
      <c r="I144" s="42" t="s">
        <v>356</v>
      </c>
      <c r="J144" s="42" t="s">
        <v>356</v>
      </c>
      <c r="K144" s="42" t="s">
        <v>356</v>
      </c>
      <c r="L144" s="42" t="s">
        <v>356</v>
      </c>
      <c r="M144" s="42" t="s">
        <v>481</v>
      </c>
      <c r="N144" s="42" t="s">
        <v>412</v>
      </c>
      <c r="O144" s="42" t="s">
        <v>482</v>
      </c>
    </row>
    <row r="145" spans="1:15" ht="15" customHeight="1" x14ac:dyDescent="0.25">
      <c r="A145" s="42">
        <v>46166</v>
      </c>
      <c r="B145" s="42" t="s">
        <v>453</v>
      </c>
      <c r="C145" s="42" t="s">
        <v>454</v>
      </c>
      <c r="D145" s="42" t="s">
        <v>489</v>
      </c>
      <c r="E145" s="42" t="s">
        <v>189</v>
      </c>
      <c r="F145" s="42" t="s">
        <v>589</v>
      </c>
      <c r="G145" s="42">
        <v>15</v>
      </c>
      <c r="H145" s="42" t="s">
        <v>36</v>
      </c>
      <c r="I145" s="42" t="s">
        <v>356</v>
      </c>
      <c r="J145" s="42" t="s">
        <v>356</v>
      </c>
      <c r="K145" s="42" t="s">
        <v>356</v>
      </c>
      <c r="L145" s="42" t="s">
        <v>356</v>
      </c>
      <c r="M145" s="42" t="s">
        <v>365</v>
      </c>
      <c r="N145" s="42" t="s">
        <v>104</v>
      </c>
      <c r="O145" s="42" t="s">
        <v>491</v>
      </c>
    </row>
    <row r="146" spans="1:15" ht="15" customHeight="1" x14ac:dyDescent="0.25">
      <c r="A146" s="42">
        <v>46166</v>
      </c>
      <c r="B146" s="42" t="s">
        <v>453</v>
      </c>
      <c r="C146" s="42" t="s">
        <v>454</v>
      </c>
      <c r="D146" s="42" t="s">
        <v>191</v>
      </c>
      <c r="E146" s="42" t="s">
        <v>189</v>
      </c>
      <c r="F146" s="42" t="s">
        <v>590</v>
      </c>
      <c r="G146" s="42">
        <v>8</v>
      </c>
      <c r="H146" s="42" t="s">
        <v>36</v>
      </c>
      <c r="I146" s="42" t="s">
        <v>356</v>
      </c>
      <c r="J146" s="42" t="s">
        <v>356</v>
      </c>
      <c r="K146" s="42" t="s">
        <v>356</v>
      </c>
      <c r="L146" s="42" t="s">
        <v>356</v>
      </c>
      <c r="M146" s="42" t="s">
        <v>356</v>
      </c>
      <c r="N146" s="42" t="s">
        <v>121</v>
      </c>
      <c r="O146" s="42" t="s">
        <v>502</v>
      </c>
    </row>
    <row r="147" spans="1:15" ht="15" customHeight="1" x14ac:dyDescent="0.25">
      <c r="A147" s="42">
        <v>46166</v>
      </c>
      <c r="B147" s="42" t="s">
        <v>453</v>
      </c>
      <c r="C147" s="42" t="s">
        <v>454</v>
      </c>
      <c r="D147" s="42" t="s">
        <v>493</v>
      </c>
      <c r="E147" s="42" t="s">
        <v>76</v>
      </c>
      <c r="F147" s="42" t="s">
        <v>494</v>
      </c>
      <c r="G147" s="42">
        <v>5</v>
      </c>
      <c r="H147" s="42" t="s">
        <v>36</v>
      </c>
      <c r="I147" s="42" t="s">
        <v>356</v>
      </c>
      <c r="J147" s="42" t="s">
        <v>356</v>
      </c>
      <c r="K147" s="42" t="s">
        <v>356</v>
      </c>
      <c r="L147" s="42" t="s">
        <v>356</v>
      </c>
      <c r="M147" s="42" t="s">
        <v>356</v>
      </c>
      <c r="N147" s="42" t="s">
        <v>209</v>
      </c>
      <c r="O147" s="42" t="s">
        <v>495</v>
      </c>
    </row>
    <row r="148" spans="1:15" ht="15" customHeight="1" x14ac:dyDescent="0.25">
      <c r="A148" s="42">
        <v>46167</v>
      </c>
      <c r="B148" s="42" t="s">
        <v>457</v>
      </c>
      <c r="C148" s="42" t="s">
        <v>458</v>
      </c>
      <c r="D148" s="42" t="s">
        <v>478</v>
      </c>
      <c r="E148" s="42" t="s">
        <v>115</v>
      </c>
      <c r="F148" s="42" t="s">
        <v>591</v>
      </c>
      <c r="G148" s="42">
        <v>45</v>
      </c>
      <c r="H148" s="42" t="s">
        <v>36</v>
      </c>
      <c r="I148" s="42" t="s">
        <v>356</v>
      </c>
      <c r="J148" s="42" t="s">
        <v>356</v>
      </c>
      <c r="K148" s="42" t="s">
        <v>365</v>
      </c>
      <c r="L148" s="42" t="s">
        <v>356</v>
      </c>
      <c r="M148" s="42" t="s">
        <v>481</v>
      </c>
      <c r="N148" s="42" t="s">
        <v>104</v>
      </c>
      <c r="O148" s="42" t="s">
        <v>497</v>
      </c>
    </row>
    <row r="149" spans="1:15" ht="15" customHeight="1" x14ac:dyDescent="0.25">
      <c r="A149" s="42">
        <v>46167</v>
      </c>
      <c r="B149" s="42" t="s">
        <v>457</v>
      </c>
      <c r="C149" s="42" t="s">
        <v>458</v>
      </c>
      <c r="D149" s="42" t="s">
        <v>483</v>
      </c>
      <c r="E149" s="42" t="s">
        <v>484</v>
      </c>
      <c r="F149" s="42" t="s">
        <v>592</v>
      </c>
      <c r="G149" s="42">
        <v>20</v>
      </c>
      <c r="H149" s="42" t="s">
        <v>36</v>
      </c>
      <c r="I149" s="42" t="s">
        <v>356</v>
      </c>
      <c r="J149" s="42" t="s">
        <v>365</v>
      </c>
      <c r="K149" s="42" t="s">
        <v>356</v>
      </c>
      <c r="L149" s="42" t="s">
        <v>356</v>
      </c>
      <c r="M149" s="42" t="s">
        <v>481</v>
      </c>
      <c r="N149" s="42" t="s">
        <v>104</v>
      </c>
      <c r="O149" s="42" t="s">
        <v>486</v>
      </c>
    </row>
    <row r="150" spans="1:15" ht="15" customHeight="1" x14ac:dyDescent="0.25">
      <c r="A150" s="42">
        <v>46167</v>
      </c>
      <c r="B150" s="42" t="s">
        <v>457</v>
      </c>
      <c r="C150" s="42" t="s">
        <v>458</v>
      </c>
      <c r="D150" s="42" t="s">
        <v>47</v>
      </c>
      <c r="E150" s="42" t="s">
        <v>487</v>
      </c>
      <c r="F150" s="42" t="s">
        <v>488</v>
      </c>
      <c r="G150" s="42">
        <v>10</v>
      </c>
      <c r="H150" s="42" t="s">
        <v>36</v>
      </c>
      <c r="I150" s="42" t="s">
        <v>356</v>
      </c>
      <c r="J150" s="42" t="s">
        <v>356</v>
      </c>
      <c r="K150" s="42" t="s">
        <v>356</v>
      </c>
      <c r="L150" s="42" t="s">
        <v>365</v>
      </c>
      <c r="M150" s="42" t="s">
        <v>481</v>
      </c>
      <c r="N150" s="42" t="s">
        <v>104</v>
      </c>
      <c r="O150" s="42" t="s">
        <v>499</v>
      </c>
    </row>
    <row r="151" spans="1:15" ht="15" customHeight="1" x14ac:dyDescent="0.25">
      <c r="A151" s="42">
        <v>46167</v>
      </c>
      <c r="B151" s="42" t="s">
        <v>457</v>
      </c>
      <c r="C151" s="42" t="s">
        <v>458</v>
      </c>
      <c r="D151" s="42" t="s">
        <v>489</v>
      </c>
      <c r="E151" s="42" t="s">
        <v>189</v>
      </c>
      <c r="F151" s="42" t="s">
        <v>593</v>
      </c>
      <c r="G151" s="42">
        <v>15</v>
      </c>
      <c r="H151" s="42" t="s">
        <v>36</v>
      </c>
      <c r="I151" s="42" t="s">
        <v>356</v>
      </c>
      <c r="J151" s="42" t="s">
        <v>356</v>
      </c>
      <c r="K151" s="42" t="s">
        <v>356</v>
      </c>
      <c r="L151" s="42" t="s">
        <v>356</v>
      </c>
      <c r="M151" s="42" t="s">
        <v>365</v>
      </c>
      <c r="N151" s="42" t="s">
        <v>104</v>
      </c>
      <c r="O151" s="42" t="s">
        <v>491</v>
      </c>
    </row>
    <row r="152" spans="1:15" ht="15" customHeight="1" x14ac:dyDescent="0.25">
      <c r="A152" s="42">
        <v>46167</v>
      </c>
      <c r="B152" s="42" t="s">
        <v>457</v>
      </c>
      <c r="C152" s="42" t="s">
        <v>458</v>
      </c>
      <c r="D152" s="42" t="s">
        <v>191</v>
      </c>
      <c r="E152" s="42" t="s">
        <v>189</v>
      </c>
      <c r="F152" s="42" t="s">
        <v>594</v>
      </c>
      <c r="G152" s="42">
        <v>8</v>
      </c>
      <c r="H152" s="42" t="s">
        <v>36</v>
      </c>
      <c r="I152" s="42" t="s">
        <v>356</v>
      </c>
      <c r="J152" s="42" t="s">
        <v>356</v>
      </c>
      <c r="K152" s="42" t="s">
        <v>356</v>
      </c>
      <c r="L152" s="42" t="s">
        <v>356</v>
      </c>
      <c r="M152" s="42" t="s">
        <v>356</v>
      </c>
      <c r="N152" s="42" t="s">
        <v>121</v>
      </c>
      <c r="O152" s="42" t="s">
        <v>502</v>
      </c>
    </row>
    <row r="153" spans="1:15" ht="15" customHeight="1" x14ac:dyDescent="0.25">
      <c r="A153" s="42">
        <v>46167</v>
      </c>
      <c r="B153" s="42" t="s">
        <v>457</v>
      </c>
      <c r="C153" s="42" t="s">
        <v>458</v>
      </c>
      <c r="D153" s="42" t="s">
        <v>493</v>
      </c>
      <c r="E153" s="42" t="s">
        <v>76</v>
      </c>
      <c r="F153" s="42" t="s">
        <v>494</v>
      </c>
      <c r="G153" s="42">
        <v>5</v>
      </c>
      <c r="H153" s="42" t="s">
        <v>36</v>
      </c>
      <c r="I153" s="42" t="s">
        <v>356</v>
      </c>
      <c r="J153" s="42" t="s">
        <v>356</v>
      </c>
      <c r="K153" s="42" t="s">
        <v>356</v>
      </c>
      <c r="L153" s="42" t="s">
        <v>356</v>
      </c>
      <c r="M153" s="42" t="s">
        <v>356</v>
      </c>
      <c r="N153" s="42" t="s">
        <v>209</v>
      </c>
      <c r="O153" s="42" t="s">
        <v>495</v>
      </c>
    </row>
    <row r="154" spans="1:15" ht="15" customHeight="1" x14ac:dyDescent="0.25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</row>
  </sheetData>
  <mergeCells count="2">
    <mergeCell ref="A1:O1"/>
    <mergeCell ref="A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18"/>
  <sheetViews>
    <sheetView showGridLines="0" topLeftCell="B2" zoomScaleNormal="100" workbookViewId="0">
      <selection activeCell="H12" sqref="H12"/>
    </sheetView>
  </sheetViews>
  <sheetFormatPr defaultColWidth="8.7109375" defaultRowHeight="15" x14ac:dyDescent="0.25"/>
  <cols>
    <col min="1" max="1" width="25" customWidth="1"/>
    <col min="2" max="2" width="22" customWidth="1"/>
    <col min="3" max="3" width="20" customWidth="1"/>
    <col min="4" max="4" width="38" customWidth="1"/>
    <col min="5" max="5" width="37" customWidth="1"/>
    <col min="6" max="6" width="11.85546875" customWidth="1"/>
    <col min="7" max="7" width="21.7109375" customWidth="1"/>
    <col min="8" max="8" width="14.5703125" customWidth="1"/>
    <col min="9" max="9" width="15.5703125" customWidth="1"/>
    <col min="10" max="10" width="28" customWidth="1"/>
    <col min="11" max="12" width="10" customWidth="1"/>
  </cols>
  <sheetData>
    <row r="1" spans="1:12" ht="36" customHeight="1" x14ac:dyDescent="0.25">
      <c r="A1" s="250" t="s">
        <v>0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</row>
    <row r="2" spans="1:12" ht="18" customHeight="1" x14ac:dyDescent="0.25">
      <c r="A2" s="248" t="s">
        <v>1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</row>
    <row r="4" spans="1:12" ht="19.5" customHeight="1" x14ac:dyDescent="0.25">
      <c r="A4" s="44" t="s">
        <v>2</v>
      </c>
      <c r="B4" s="45" t="s">
        <v>3</v>
      </c>
      <c r="D4" s="44" t="s">
        <v>4</v>
      </c>
      <c r="E4" s="45" t="s">
        <v>5</v>
      </c>
      <c r="G4" s="44" t="s">
        <v>6</v>
      </c>
      <c r="H4" s="45" t="s">
        <v>7</v>
      </c>
      <c r="J4" s="44" t="s">
        <v>8</v>
      </c>
      <c r="K4" s="45" t="s">
        <v>9</v>
      </c>
    </row>
    <row r="5" spans="1:12" ht="19.5" customHeight="1" x14ac:dyDescent="0.25">
      <c r="A5" s="44" t="s">
        <v>10</v>
      </c>
      <c r="B5" s="45" t="s">
        <v>11</v>
      </c>
      <c r="D5" s="44" t="s">
        <v>12</v>
      </c>
      <c r="E5" s="46">
        <v>6</v>
      </c>
      <c r="G5" s="44" t="s">
        <v>13</v>
      </c>
      <c r="H5" s="46">
        <v>-43</v>
      </c>
      <c r="J5" s="44" t="s">
        <v>14</v>
      </c>
      <c r="K5" s="45" t="s">
        <v>15</v>
      </c>
    </row>
    <row r="7" spans="1:12" ht="21.75" customHeight="1" x14ac:dyDescent="0.25">
      <c r="A7" s="251" t="s">
        <v>16</v>
      </c>
      <c r="B7" s="237"/>
      <c r="C7" s="237"/>
      <c r="D7" s="237"/>
      <c r="E7" s="237"/>
      <c r="F7" s="237"/>
      <c r="G7" s="237"/>
      <c r="H7" s="237"/>
      <c r="I7" s="237"/>
      <c r="J7" s="237"/>
      <c r="K7" s="237"/>
      <c r="L7" s="237"/>
    </row>
    <row r="8" spans="1:12" ht="39.75" customHeight="1" x14ac:dyDescent="0.25">
      <c r="A8" s="47" t="s">
        <v>17</v>
      </c>
      <c r="B8" s="47" t="s">
        <v>18</v>
      </c>
      <c r="C8" s="47" t="s">
        <v>19</v>
      </c>
      <c r="D8" s="47" t="s">
        <v>20</v>
      </c>
      <c r="E8" s="47" t="s">
        <v>21</v>
      </c>
      <c r="F8" s="47" t="s">
        <v>22</v>
      </c>
      <c r="G8" s="47" t="s">
        <v>23</v>
      </c>
      <c r="H8" s="47" t="s">
        <v>24</v>
      </c>
      <c r="I8" s="47" t="s">
        <v>25</v>
      </c>
      <c r="J8" s="47" t="s">
        <v>26</v>
      </c>
      <c r="K8" s="47" t="s">
        <v>27</v>
      </c>
      <c r="L8" s="47" t="s">
        <v>28</v>
      </c>
    </row>
    <row r="9" spans="1:12" ht="39.75" customHeight="1" x14ac:dyDescent="0.25">
      <c r="A9" s="48">
        <v>1</v>
      </c>
      <c r="B9" s="49" t="s">
        <v>29</v>
      </c>
      <c r="C9" s="49" t="s">
        <v>30</v>
      </c>
      <c r="D9" s="50" t="s">
        <v>31</v>
      </c>
      <c r="E9" s="51" t="s">
        <v>32</v>
      </c>
      <c r="F9" s="51" t="s">
        <v>33</v>
      </c>
      <c r="G9" s="51" t="s">
        <v>34</v>
      </c>
      <c r="H9" s="52" t="s">
        <v>35</v>
      </c>
      <c r="I9" s="52" t="s">
        <v>36</v>
      </c>
      <c r="J9" s="53" t="s">
        <v>37</v>
      </c>
      <c r="K9" s="52" t="s">
        <v>38</v>
      </c>
      <c r="L9" s="54">
        <v>-25</v>
      </c>
    </row>
    <row r="10" spans="1:12" ht="39.75" customHeight="1" x14ac:dyDescent="0.25">
      <c r="A10" s="55">
        <v>2</v>
      </c>
      <c r="B10" s="56" t="s">
        <v>39</v>
      </c>
      <c r="C10" s="56" t="s">
        <v>40</v>
      </c>
      <c r="D10" s="57" t="s">
        <v>41</v>
      </c>
      <c r="E10" s="56" t="s">
        <v>42</v>
      </c>
      <c r="F10" s="58" t="s">
        <v>43</v>
      </c>
      <c r="G10" s="58" t="s">
        <v>44</v>
      </c>
      <c r="H10" s="59" t="s">
        <v>45</v>
      </c>
      <c r="I10" s="52" t="s">
        <v>36</v>
      </c>
      <c r="J10" s="60" t="s">
        <v>46</v>
      </c>
      <c r="K10" s="61" t="s">
        <v>38</v>
      </c>
      <c r="L10" s="61">
        <v>-25</v>
      </c>
    </row>
    <row r="11" spans="1:12" ht="39.75" customHeight="1" x14ac:dyDescent="0.25">
      <c r="A11" s="48">
        <v>3</v>
      </c>
      <c r="B11" s="49" t="s">
        <v>47</v>
      </c>
      <c r="C11" s="49" t="s">
        <v>48</v>
      </c>
      <c r="D11" s="50" t="s">
        <v>49</v>
      </c>
      <c r="E11" s="49" t="s">
        <v>50</v>
      </c>
      <c r="F11" s="51" t="s">
        <v>51</v>
      </c>
      <c r="G11" s="51" t="s">
        <v>52</v>
      </c>
      <c r="H11" s="52" t="s">
        <v>53</v>
      </c>
      <c r="I11" s="52" t="s">
        <v>36</v>
      </c>
      <c r="J11" s="53" t="s">
        <v>54</v>
      </c>
      <c r="K11" s="54" t="s">
        <v>38</v>
      </c>
      <c r="L11" s="54" t="s">
        <v>55</v>
      </c>
    </row>
    <row r="12" spans="1:12" ht="39.75" customHeight="1" x14ac:dyDescent="0.25">
      <c r="A12" s="55">
        <v>4</v>
      </c>
      <c r="B12" s="56" t="s">
        <v>56</v>
      </c>
      <c r="C12" s="56" t="s">
        <v>57</v>
      </c>
      <c r="D12" s="57" t="s">
        <v>58</v>
      </c>
      <c r="E12" s="56" t="s">
        <v>59</v>
      </c>
      <c r="F12" s="58" t="s">
        <v>60</v>
      </c>
      <c r="G12" s="58" t="s">
        <v>61</v>
      </c>
      <c r="H12" s="59" t="s">
        <v>62</v>
      </c>
      <c r="I12" s="59" t="s">
        <v>480</v>
      </c>
      <c r="J12" s="60" t="s">
        <v>63</v>
      </c>
      <c r="K12" s="61" t="s">
        <v>64</v>
      </c>
      <c r="L12" s="61">
        <v>15</v>
      </c>
    </row>
    <row r="13" spans="1:12" ht="39.75" customHeight="1" x14ac:dyDescent="0.25">
      <c r="A13" s="48">
        <v>5</v>
      </c>
      <c r="B13" s="49" t="s">
        <v>65</v>
      </c>
      <c r="C13" s="49" t="s">
        <v>66</v>
      </c>
      <c r="D13" s="50" t="s">
        <v>67</v>
      </c>
      <c r="E13" s="49" t="s">
        <v>68</v>
      </c>
      <c r="F13" s="51" t="s">
        <v>69</v>
      </c>
      <c r="G13" s="51" t="s">
        <v>70</v>
      </c>
      <c r="H13" s="52" t="s">
        <v>71</v>
      </c>
      <c r="I13" s="52" t="s">
        <v>36</v>
      </c>
      <c r="J13" s="53" t="s">
        <v>72</v>
      </c>
      <c r="K13" s="54" t="s">
        <v>73</v>
      </c>
      <c r="L13" s="54" t="s">
        <v>74</v>
      </c>
    </row>
    <row r="14" spans="1:12" ht="39.75" customHeight="1" x14ac:dyDescent="0.25">
      <c r="A14" s="55">
        <v>6</v>
      </c>
      <c r="B14" s="56" t="s">
        <v>75</v>
      </c>
      <c r="C14" s="56" t="s">
        <v>76</v>
      </c>
      <c r="D14" s="57" t="s">
        <v>77</v>
      </c>
      <c r="E14" s="56" t="s">
        <v>78</v>
      </c>
      <c r="F14" s="58" t="s">
        <v>79</v>
      </c>
      <c r="G14" s="58" t="s">
        <v>80</v>
      </c>
      <c r="H14" s="59" t="s">
        <v>81</v>
      </c>
      <c r="I14" s="59" t="s">
        <v>36</v>
      </c>
      <c r="J14" s="60" t="s">
        <v>82</v>
      </c>
      <c r="K14" s="61" t="s">
        <v>73</v>
      </c>
      <c r="L14" s="61" t="s">
        <v>83</v>
      </c>
    </row>
    <row r="16" spans="1:12" ht="21.75" customHeight="1" x14ac:dyDescent="0.25">
      <c r="A16" s="249" t="s">
        <v>84</v>
      </c>
      <c r="B16" s="237"/>
      <c r="C16" s="237"/>
      <c r="D16" s="237"/>
      <c r="E16" s="237"/>
      <c r="F16" s="237"/>
      <c r="G16" s="237"/>
      <c r="H16" s="237"/>
      <c r="I16" s="237"/>
      <c r="J16" s="237"/>
      <c r="K16" s="237"/>
      <c r="L16" s="237"/>
    </row>
    <row r="17" spans="1:11" ht="19.5" customHeight="1" x14ac:dyDescent="0.25">
      <c r="A17" s="44" t="s">
        <v>85</v>
      </c>
      <c r="B17" s="46">
        <v>6</v>
      </c>
      <c r="D17" s="44" t="s">
        <v>86</v>
      </c>
      <c r="E17" s="46">
        <f>COUNTIF(I9:I14,"PASS")</f>
        <v>5</v>
      </c>
      <c r="G17" s="44" t="s">
        <v>87</v>
      </c>
      <c r="H17" s="46">
        <f>COUNTIF(I9:I14,"FAIL")</f>
        <v>1</v>
      </c>
      <c r="J17" s="44" t="s">
        <v>88</v>
      </c>
      <c r="K17" s="46">
        <f>COUNTIF(I9:I14,"PARTIAL")</f>
        <v>0</v>
      </c>
    </row>
    <row r="18" spans="1:11" ht="19.5" customHeight="1" x14ac:dyDescent="0.25">
      <c r="A18" s="44" t="s">
        <v>89</v>
      </c>
      <c r="B18" s="62">
        <f>100+SUMIF(I9:I14,"PASS",L9:L14)</f>
        <v>50</v>
      </c>
      <c r="D18" s="44" t="s">
        <v>90</v>
      </c>
      <c r="E18" s="46" t="s">
        <v>91</v>
      </c>
      <c r="G18" s="44" t="s">
        <v>92</v>
      </c>
      <c r="H18" s="45" t="s">
        <v>93</v>
      </c>
    </row>
  </sheetData>
  <mergeCells count="4">
    <mergeCell ref="A2:L2"/>
    <mergeCell ref="A16:L16"/>
    <mergeCell ref="A1:L1"/>
    <mergeCell ref="A7:L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30"/>
  <sheetViews>
    <sheetView showGridLines="0" zoomScaleNormal="100" workbookViewId="0">
      <selection activeCell="P18" sqref="P18"/>
    </sheetView>
  </sheetViews>
  <sheetFormatPr defaultColWidth="8.7109375" defaultRowHeight="15" x14ac:dyDescent="0.25"/>
  <cols>
    <col min="1" max="1" width="4" customWidth="1"/>
    <col min="2" max="2" width="29.85546875" customWidth="1"/>
    <col min="3" max="3" width="23.28515625" customWidth="1"/>
    <col min="4" max="4" width="13.28515625" customWidth="1"/>
    <col min="5" max="5" width="16.28515625" customWidth="1"/>
    <col min="6" max="6" width="12.7109375" customWidth="1"/>
    <col min="7" max="7" width="13.5703125" customWidth="1"/>
    <col min="8" max="8" width="13.85546875" customWidth="1"/>
    <col min="9" max="9" width="11.140625" customWidth="1"/>
    <col min="10" max="10" width="14.85546875" customWidth="1"/>
    <col min="11" max="11" width="12" customWidth="1"/>
    <col min="12" max="12" width="13.85546875" customWidth="1"/>
    <col min="13" max="13" width="14.42578125" customWidth="1"/>
    <col min="14" max="14" width="0.5703125" customWidth="1"/>
  </cols>
  <sheetData>
    <row r="1" spans="1:14" ht="36" customHeight="1" x14ac:dyDescent="0.25">
      <c r="A1" s="243" t="s">
        <v>595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</row>
    <row r="2" spans="1:14" ht="18" customHeight="1" x14ac:dyDescent="0.25">
      <c r="A2" s="242" t="s">
        <v>596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</row>
    <row r="3" spans="1:14" ht="18" customHeight="1" x14ac:dyDescent="0.25">
      <c r="A3" s="255" t="s">
        <v>597</v>
      </c>
      <c r="B3" s="237"/>
      <c r="C3" s="237"/>
      <c r="D3" s="237"/>
      <c r="E3" s="237"/>
      <c r="F3" s="237"/>
      <c r="G3" s="237"/>
      <c r="H3" s="237"/>
      <c r="I3" s="237"/>
      <c r="J3" s="237"/>
      <c r="K3" s="237"/>
      <c r="L3" s="237"/>
      <c r="M3" s="237"/>
      <c r="N3" s="237"/>
    </row>
    <row r="4" spans="1:14" ht="45" customHeight="1" x14ac:dyDescent="0.25">
      <c r="A4" s="63" t="s">
        <v>17</v>
      </c>
      <c r="B4" s="63" t="s">
        <v>598</v>
      </c>
      <c r="C4" s="63" t="s">
        <v>599</v>
      </c>
      <c r="D4" s="63" t="s">
        <v>600</v>
      </c>
      <c r="E4" s="63" t="s">
        <v>601</v>
      </c>
      <c r="F4" s="63" t="s">
        <v>602</v>
      </c>
      <c r="G4" s="63" t="s">
        <v>603</v>
      </c>
      <c r="H4" s="63" t="s">
        <v>604</v>
      </c>
      <c r="I4" s="63" t="s">
        <v>605</v>
      </c>
      <c r="J4" s="63" t="s">
        <v>606</v>
      </c>
      <c r="K4" s="63" t="s">
        <v>607</v>
      </c>
      <c r="L4" s="63" t="s">
        <v>321</v>
      </c>
      <c r="M4" s="63" t="s">
        <v>608</v>
      </c>
    </row>
    <row r="5" spans="1:14" ht="15.75" customHeight="1" x14ac:dyDescent="0.25">
      <c r="A5" s="252" t="s">
        <v>609</v>
      </c>
      <c r="B5" s="253"/>
      <c r="C5" s="254"/>
      <c r="D5" s="64">
        <v>25</v>
      </c>
      <c r="E5" s="64">
        <v>25</v>
      </c>
      <c r="F5" s="64">
        <v>20</v>
      </c>
      <c r="G5" s="64">
        <v>15</v>
      </c>
      <c r="H5" s="64">
        <v>10</v>
      </c>
      <c r="I5" s="64">
        <v>5</v>
      </c>
      <c r="J5" s="65"/>
      <c r="K5" s="65"/>
      <c r="L5" s="65"/>
      <c r="M5" s="65"/>
    </row>
    <row r="6" spans="1:14" ht="18" customHeight="1" x14ac:dyDescent="0.25">
      <c r="A6" s="66">
        <v>1</v>
      </c>
      <c r="B6" s="67" t="s">
        <v>353</v>
      </c>
      <c r="C6" s="67" t="s">
        <v>610</v>
      </c>
      <c r="D6" s="66">
        <v>0</v>
      </c>
      <c r="E6" s="66">
        <v>0.5</v>
      </c>
      <c r="F6" s="66">
        <v>0</v>
      </c>
      <c r="G6" s="66">
        <v>1</v>
      </c>
      <c r="H6" s="66">
        <v>0</v>
      </c>
      <c r="I6" s="66">
        <v>0.5</v>
      </c>
      <c r="J6" s="66">
        <v>30</v>
      </c>
      <c r="K6" s="66">
        <v>70</v>
      </c>
      <c r="L6" s="68" t="s">
        <v>328</v>
      </c>
      <c r="M6" s="66" t="s">
        <v>611</v>
      </c>
    </row>
    <row r="7" spans="1:14" ht="18" customHeight="1" x14ac:dyDescent="0.25">
      <c r="A7" s="36">
        <v>2</v>
      </c>
      <c r="B7" s="6" t="s">
        <v>363</v>
      </c>
      <c r="C7" s="6" t="s">
        <v>612</v>
      </c>
      <c r="D7" s="36">
        <v>1</v>
      </c>
      <c r="E7" s="36">
        <v>1</v>
      </c>
      <c r="F7" s="36">
        <v>0.5</v>
      </c>
      <c r="G7" s="36">
        <v>1</v>
      </c>
      <c r="H7" s="36">
        <v>0.5</v>
      </c>
      <c r="I7" s="36">
        <v>0</v>
      </c>
      <c r="J7" s="36">
        <v>80</v>
      </c>
      <c r="K7" s="36">
        <v>20</v>
      </c>
      <c r="L7" s="69" t="s">
        <v>337</v>
      </c>
      <c r="M7" s="36" t="s">
        <v>613</v>
      </c>
    </row>
    <row r="8" spans="1:14" ht="18" customHeight="1" x14ac:dyDescent="0.25">
      <c r="A8" s="37">
        <v>3</v>
      </c>
      <c r="B8" s="3" t="s">
        <v>369</v>
      </c>
      <c r="C8" s="3" t="s">
        <v>614</v>
      </c>
      <c r="D8" s="37">
        <v>0</v>
      </c>
      <c r="E8" s="37">
        <v>0.5</v>
      </c>
      <c r="F8" s="37">
        <v>0.5</v>
      </c>
      <c r="G8" s="37">
        <v>0.5</v>
      </c>
      <c r="H8" s="37">
        <v>0.5</v>
      </c>
      <c r="I8" s="37">
        <v>0</v>
      </c>
      <c r="J8" s="37">
        <v>35</v>
      </c>
      <c r="K8" s="37">
        <v>65</v>
      </c>
      <c r="L8" s="70" t="s">
        <v>331</v>
      </c>
      <c r="M8" s="37" t="s">
        <v>615</v>
      </c>
    </row>
    <row r="9" spans="1:14" ht="18" customHeight="1" x14ac:dyDescent="0.25">
      <c r="A9" s="36">
        <v>4</v>
      </c>
      <c r="B9" s="6" t="s">
        <v>374</v>
      </c>
      <c r="C9" s="6" t="s">
        <v>616</v>
      </c>
      <c r="D9" s="36">
        <v>1</v>
      </c>
      <c r="E9" s="36">
        <v>1</v>
      </c>
      <c r="F9" s="36">
        <v>0</v>
      </c>
      <c r="G9" s="36">
        <v>0.5</v>
      </c>
      <c r="H9" s="36">
        <v>1</v>
      </c>
      <c r="I9" s="36">
        <v>1</v>
      </c>
      <c r="J9" s="36">
        <v>72.5</v>
      </c>
      <c r="K9" s="36">
        <v>27.5</v>
      </c>
      <c r="L9" s="69" t="s">
        <v>337</v>
      </c>
      <c r="M9" s="36" t="s">
        <v>613</v>
      </c>
    </row>
    <row r="10" spans="1:14" ht="18" customHeight="1" x14ac:dyDescent="0.25">
      <c r="A10" s="37">
        <v>5</v>
      </c>
      <c r="B10" s="3" t="s">
        <v>379</v>
      </c>
      <c r="C10" s="3" t="s">
        <v>610</v>
      </c>
      <c r="D10" s="37">
        <v>0</v>
      </c>
      <c r="E10" s="37">
        <v>0</v>
      </c>
      <c r="F10" s="37">
        <v>0</v>
      </c>
      <c r="G10" s="37">
        <v>1</v>
      </c>
      <c r="H10" s="37">
        <v>0</v>
      </c>
      <c r="I10" s="37">
        <v>0.5</v>
      </c>
      <c r="J10" s="37">
        <v>17.5</v>
      </c>
      <c r="K10" s="37">
        <v>82.5</v>
      </c>
      <c r="L10" s="70" t="s">
        <v>328</v>
      </c>
      <c r="M10" s="37" t="s">
        <v>611</v>
      </c>
    </row>
    <row r="11" spans="1:14" ht="18" customHeight="1" x14ac:dyDescent="0.25">
      <c r="A11" s="36">
        <v>6</v>
      </c>
      <c r="B11" s="6" t="s">
        <v>383</v>
      </c>
      <c r="C11" s="6" t="s">
        <v>612</v>
      </c>
      <c r="D11" s="36">
        <v>0</v>
      </c>
      <c r="E11" s="36">
        <v>0.5</v>
      </c>
      <c r="F11" s="36">
        <v>0.5</v>
      </c>
      <c r="G11" s="36">
        <v>1</v>
      </c>
      <c r="H11" s="36">
        <v>0.5</v>
      </c>
      <c r="I11" s="36">
        <v>0</v>
      </c>
      <c r="J11" s="36">
        <v>42.5</v>
      </c>
      <c r="K11" s="36">
        <v>57.5</v>
      </c>
      <c r="L11" s="71" t="s">
        <v>331</v>
      </c>
      <c r="M11" s="36" t="s">
        <v>615</v>
      </c>
    </row>
    <row r="12" spans="1:14" ht="18" customHeight="1" x14ac:dyDescent="0.25">
      <c r="A12" s="37">
        <v>7</v>
      </c>
      <c r="B12" s="3" t="s">
        <v>387</v>
      </c>
      <c r="C12" s="3" t="s">
        <v>614</v>
      </c>
      <c r="D12" s="37">
        <v>1</v>
      </c>
      <c r="E12" s="37">
        <v>0</v>
      </c>
      <c r="F12" s="37">
        <v>0</v>
      </c>
      <c r="G12" s="37">
        <v>1</v>
      </c>
      <c r="H12" s="37">
        <v>0</v>
      </c>
      <c r="I12" s="37">
        <v>0</v>
      </c>
      <c r="J12" s="37">
        <v>40</v>
      </c>
      <c r="K12" s="37">
        <v>60</v>
      </c>
      <c r="L12" s="72" t="s">
        <v>331</v>
      </c>
      <c r="M12" s="37" t="s">
        <v>615</v>
      </c>
    </row>
    <row r="13" spans="1:14" ht="18" customHeight="1" x14ac:dyDescent="0.25">
      <c r="A13" s="36">
        <v>8</v>
      </c>
      <c r="B13" s="6" t="s">
        <v>391</v>
      </c>
      <c r="C13" s="6" t="s">
        <v>617</v>
      </c>
      <c r="D13" s="36">
        <v>0</v>
      </c>
      <c r="E13" s="36">
        <v>0</v>
      </c>
      <c r="F13" s="36">
        <v>0.5</v>
      </c>
      <c r="G13" s="36">
        <v>0.5</v>
      </c>
      <c r="H13" s="36">
        <v>0.5</v>
      </c>
      <c r="I13" s="36">
        <v>1</v>
      </c>
      <c r="J13" s="36">
        <v>27.5</v>
      </c>
      <c r="K13" s="36">
        <v>72.5</v>
      </c>
      <c r="L13" s="69" t="s">
        <v>328</v>
      </c>
      <c r="M13" s="36" t="s">
        <v>611</v>
      </c>
    </row>
    <row r="14" spans="1:14" ht="18" customHeight="1" x14ac:dyDescent="0.25">
      <c r="A14" s="37">
        <v>9</v>
      </c>
      <c r="B14" s="3" t="s">
        <v>395</v>
      </c>
      <c r="C14" s="3" t="s">
        <v>610</v>
      </c>
      <c r="D14" s="37">
        <v>0</v>
      </c>
      <c r="E14" s="37">
        <v>0</v>
      </c>
      <c r="F14" s="37">
        <v>0</v>
      </c>
      <c r="G14" s="37">
        <v>0.5</v>
      </c>
      <c r="H14" s="37">
        <v>0</v>
      </c>
      <c r="I14" s="37">
        <v>0</v>
      </c>
      <c r="J14" s="37">
        <v>7.5</v>
      </c>
      <c r="K14" s="37">
        <v>92.5</v>
      </c>
      <c r="L14" s="70" t="s">
        <v>324</v>
      </c>
      <c r="M14" s="37" t="s">
        <v>611</v>
      </c>
    </row>
    <row r="15" spans="1:14" ht="18" customHeight="1" x14ac:dyDescent="0.25">
      <c r="A15" s="36">
        <v>10</v>
      </c>
      <c r="B15" s="6" t="s">
        <v>399</v>
      </c>
      <c r="C15" s="6" t="s">
        <v>612</v>
      </c>
      <c r="D15" s="36">
        <v>0</v>
      </c>
      <c r="E15" s="36">
        <v>0.5</v>
      </c>
      <c r="F15" s="36">
        <v>0</v>
      </c>
      <c r="G15" s="36">
        <v>1</v>
      </c>
      <c r="H15" s="36">
        <v>0.5</v>
      </c>
      <c r="I15" s="36">
        <v>0.5</v>
      </c>
      <c r="J15" s="36">
        <v>35</v>
      </c>
      <c r="K15" s="36">
        <v>65</v>
      </c>
      <c r="L15" s="73" t="s">
        <v>331</v>
      </c>
      <c r="M15" s="36" t="s">
        <v>615</v>
      </c>
    </row>
    <row r="16" spans="1:14" ht="18" customHeight="1" x14ac:dyDescent="0.25">
      <c r="A16" s="37">
        <v>11</v>
      </c>
      <c r="B16" s="3" t="s">
        <v>402</v>
      </c>
      <c r="C16" s="3" t="s">
        <v>616</v>
      </c>
      <c r="D16" s="37">
        <v>1</v>
      </c>
      <c r="E16" s="37">
        <v>1</v>
      </c>
      <c r="F16" s="37">
        <v>1</v>
      </c>
      <c r="G16" s="37">
        <v>1</v>
      </c>
      <c r="H16" s="37">
        <v>0.5</v>
      </c>
      <c r="I16" s="37">
        <v>1</v>
      </c>
      <c r="J16" s="37">
        <v>95</v>
      </c>
      <c r="K16" s="37">
        <v>5</v>
      </c>
      <c r="L16" s="72" t="s">
        <v>337</v>
      </c>
      <c r="M16" s="37" t="s">
        <v>613</v>
      </c>
    </row>
    <row r="17" spans="1:13" ht="18" customHeight="1" x14ac:dyDescent="0.25">
      <c r="A17" s="36">
        <v>12</v>
      </c>
      <c r="B17" s="6" t="s">
        <v>406</v>
      </c>
      <c r="C17" s="6" t="s">
        <v>610</v>
      </c>
      <c r="D17" s="36">
        <v>0</v>
      </c>
      <c r="E17" s="36">
        <v>0</v>
      </c>
      <c r="F17" s="36">
        <v>0</v>
      </c>
      <c r="G17" s="36">
        <v>1</v>
      </c>
      <c r="H17" s="36">
        <v>1</v>
      </c>
      <c r="I17" s="36">
        <v>1</v>
      </c>
      <c r="J17" s="36">
        <v>30</v>
      </c>
      <c r="K17" s="36">
        <v>70</v>
      </c>
      <c r="L17" s="73" t="s">
        <v>328</v>
      </c>
      <c r="M17" s="36" t="s">
        <v>611</v>
      </c>
    </row>
    <row r="18" spans="1:13" ht="18" customHeight="1" x14ac:dyDescent="0.25">
      <c r="A18" s="37">
        <v>13</v>
      </c>
      <c r="B18" s="3" t="s">
        <v>409</v>
      </c>
      <c r="C18" s="3" t="s">
        <v>618</v>
      </c>
      <c r="D18" s="37">
        <v>0</v>
      </c>
      <c r="E18" s="37">
        <v>0</v>
      </c>
      <c r="F18" s="37">
        <v>0</v>
      </c>
      <c r="G18" s="37">
        <v>1</v>
      </c>
      <c r="H18" s="37">
        <v>1</v>
      </c>
      <c r="I18" s="37">
        <v>1</v>
      </c>
      <c r="J18" s="37">
        <v>30</v>
      </c>
      <c r="K18" s="37">
        <v>70</v>
      </c>
      <c r="L18" s="72" t="s">
        <v>328</v>
      </c>
      <c r="M18" s="37" t="s">
        <v>611</v>
      </c>
    </row>
    <row r="19" spans="1:13" ht="18" customHeight="1" x14ac:dyDescent="0.25">
      <c r="A19" s="36">
        <v>14</v>
      </c>
      <c r="B19" s="6" t="s">
        <v>415</v>
      </c>
      <c r="C19" s="6" t="s">
        <v>618</v>
      </c>
      <c r="D19" s="36">
        <v>1</v>
      </c>
      <c r="E19" s="36">
        <v>1</v>
      </c>
      <c r="F19" s="36">
        <v>0.5</v>
      </c>
      <c r="G19" s="36">
        <v>1</v>
      </c>
      <c r="H19" s="36">
        <v>1</v>
      </c>
      <c r="I19" s="36">
        <v>0</v>
      </c>
      <c r="J19" s="36">
        <v>85</v>
      </c>
      <c r="K19" s="36">
        <v>15</v>
      </c>
      <c r="L19" s="69" t="s">
        <v>337</v>
      </c>
      <c r="M19" s="36" t="s">
        <v>613</v>
      </c>
    </row>
    <row r="20" spans="1:13" ht="18" customHeight="1" x14ac:dyDescent="0.25">
      <c r="A20" s="37">
        <v>15</v>
      </c>
      <c r="B20" s="3" t="s">
        <v>418</v>
      </c>
      <c r="C20" s="3" t="s">
        <v>618</v>
      </c>
      <c r="D20" s="37">
        <v>0</v>
      </c>
      <c r="E20" s="37">
        <v>0</v>
      </c>
      <c r="F20" s="37">
        <v>0</v>
      </c>
      <c r="G20" s="37">
        <v>1</v>
      </c>
      <c r="H20" s="37">
        <v>1</v>
      </c>
      <c r="I20" s="37">
        <v>1</v>
      </c>
      <c r="J20" s="37">
        <v>30</v>
      </c>
      <c r="K20" s="37">
        <v>70</v>
      </c>
      <c r="L20" s="72" t="s">
        <v>328</v>
      </c>
      <c r="M20" s="37" t="s">
        <v>611</v>
      </c>
    </row>
    <row r="21" spans="1:13" ht="18" customHeight="1" x14ac:dyDescent="0.25">
      <c r="A21" s="36">
        <v>16</v>
      </c>
      <c r="B21" s="6" t="s">
        <v>423</v>
      </c>
      <c r="C21" s="6" t="s">
        <v>618</v>
      </c>
      <c r="D21" s="36">
        <v>0</v>
      </c>
      <c r="E21" s="36">
        <v>1</v>
      </c>
      <c r="F21" s="36">
        <v>1</v>
      </c>
      <c r="G21" s="36">
        <v>1</v>
      </c>
      <c r="H21" s="36">
        <v>1</v>
      </c>
      <c r="I21" s="36">
        <v>1</v>
      </c>
      <c r="J21" s="36">
        <v>75</v>
      </c>
      <c r="K21" s="36">
        <v>25</v>
      </c>
      <c r="L21" s="9" t="s">
        <v>337</v>
      </c>
      <c r="M21" s="36" t="s">
        <v>613</v>
      </c>
    </row>
    <row r="22" spans="1:13" ht="18" customHeight="1" x14ac:dyDescent="0.25">
      <c r="A22" s="37">
        <v>17</v>
      </c>
      <c r="B22" s="3" t="s">
        <v>427</v>
      </c>
      <c r="C22" s="3" t="s">
        <v>618</v>
      </c>
      <c r="D22" s="37">
        <v>0</v>
      </c>
      <c r="E22" s="37">
        <v>0</v>
      </c>
      <c r="F22" s="37">
        <v>0</v>
      </c>
      <c r="G22" s="37">
        <v>1</v>
      </c>
      <c r="H22" s="37">
        <v>1</v>
      </c>
      <c r="I22" s="37">
        <v>1</v>
      </c>
      <c r="J22" s="37">
        <v>30</v>
      </c>
      <c r="K22" s="37">
        <v>70</v>
      </c>
      <c r="L22" s="72" t="s">
        <v>328</v>
      </c>
      <c r="M22" s="37" t="s">
        <v>611</v>
      </c>
    </row>
    <row r="23" spans="1:13" ht="18" customHeight="1" x14ac:dyDescent="0.25">
      <c r="A23" s="36">
        <v>18</v>
      </c>
      <c r="B23" s="6" t="s">
        <v>431</v>
      </c>
      <c r="C23" s="6" t="s">
        <v>618</v>
      </c>
      <c r="D23" s="36">
        <v>0</v>
      </c>
      <c r="E23" s="36">
        <v>0.5</v>
      </c>
      <c r="F23" s="36">
        <v>1</v>
      </c>
      <c r="G23" s="36">
        <v>1</v>
      </c>
      <c r="H23" s="36">
        <v>0.5</v>
      </c>
      <c r="I23" s="36">
        <v>1</v>
      </c>
      <c r="J23" s="36">
        <v>57.5</v>
      </c>
      <c r="K23" s="36">
        <v>42.5</v>
      </c>
      <c r="L23" s="69" t="s">
        <v>334</v>
      </c>
      <c r="M23" s="36" t="s">
        <v>613</v>
      </c>
    </row>
    <row r="24" spans="1:13" ht="18" customHeight="1" x14ac:dyDescent="0.25">
      <c r="A24" s="37">
        <v>19</v>
      </c>
      <c r="B24" s="3" t="s">
        <v>434</v>
      </c>
      <c r="C24" s="3" t="s">
        <v>618</v>
      </c>
      <c r="D24" s="37">
        <v>0</v>
      </c>
      <c r="E24" s="37">
        <v>0</v>
      </c>
      <c r="F24" s="37">
        <v>0</v>
      </c>
      <c r="G24" s="37">
        <v>1</v>
      </c>
      <c r="H24" s="37">
        <v>1</v>
      </c>
      <c r="I24" s="37">
        <v>1</v>
      </c>
      <c r="J24" s="37">
        <v>30</v>
      </c>
      <c r="K24" s="37">
        <v>70</v>
      </c>
      <c r="L24" s="72" t="s">
        <v>328</v>
      </c>
      <c r="M24" s="37" t="s">
        <v>611</v>
      </c>
    </row>
    <row r="25" spans="1:13" ht="18" customHeight="1" x14ac:dyDescent="0.25">
      <c r="A25" s="36">
        <v>20</v>
      </c>
      <c r="B25" s="6" t="s">
        <v>438</v>
      </c>
      <c r="C25" s="6" t="s">
        <v>618</v>
      </c>
      <c r="D25" s="36">
        <v>0</v>
      </c>
      <c r="E25" s="36">
        <v>0</v>
      </c>
      <c r="F25" s="36">
        <v>0</v>
      </c>
      <c r="G25" s="36">
        <v>1</v>
      </c>
      <c r="H25" s="36">
        <v>1</v>
      </c>
      <c r="I25" s="36">
        <v>1</v>
      </c>
      <c r="J25" s="36">
        <v>30</v>
      </c>
      <c r="K25" s="36">
        <v>70</v>
      </c>
      <c r="L25" s="69" t="s">
        <v>328</v>
      </c>
      <c r="M25" s="36" t="s">
        <v>611</v>
      </c>
    </row>
    <row r="26" spans="1:13" ht="18" customHeight="1" x14ac:dyDescent="0.25">
      <c r="A26" s="37">
        <v>21</v>
      </c>
      <c r="B26" s="3" t="s">
        <v>442</v>
      </c>
      <c r="C26" s="3" t="s">
        <v>618</v>
      </c>
      <c r="D26" s="37">
        <v>0</v>
      </c>
      <c r="E26" s="37">
        <v>0</v>
      </c>
      <c r="F26" s="37">
        <v>0.5</v>
      </c>
      <c r="G26" s="37">
        <v>0.5</v>
      </c>
      <c r="H26" s="37">
        <v>0.5</v>
      </c>
      <c r="I26" s="37">
        <v>1</v>
      </c>
      <c r="J26" s="37">
        <v>27.5</v>
      </c>
      <c r="K26" s="37">
        <v>72.5</v>
      </c>
      <c r="L26" s="70" t="s">
        <v>328</v>
      </c>
      <c r="M26" s="37" t="s">
        <v>611</v>
      </c>
    </row>
    <row r="27" spans="1:13" ht="18" customHeight="1" x14ac:dyDescent="0.25">
      <c r="A27" s="36">
        <v>22</v>
      </c>
      <c r="B27" s="6" t="s">
        <v>445</v>
      </c>
      <c r="C27" s="6" t="s">
        <v>618</v>
      </c>
      <c r="D27" s="36">
        <v>0.5</v>
      </c>
      <c r="E27" s="36">
        <v>1</v>
      </c>
      <c r="F27" s="36">
        <v>1</v>
      </c>
      <c r="G27" s="36">
        <v>0.5</v>
      </c>
      <c r="H27" s="36">
        <v>1</v>
      </c>
      <c r="I27" s="36">
        <v>0.5</v>
      </c>
      <c r="J27" s="36">
        <v>77.5</v>
      </c>
      <c r="K27" s="36">
        <v>22.5</v>
      </c>
      <c r="L27" s="71" t="s">
        <v>337</v>
      </c>
      <c r="M27" s="36" t="s">
        <v>613</v>
      </c>
    </row>
    <row r="28" spans="1:13" ht="18" customHeight="1" x14ac:dyDescent="0.25">
      <c r="A28" s="37">
        <v>23</v>
      </c>
      <c r="B28" s="3" t="s">
        <v>449</v>
      </c>
      <c r="C28" s="3" t="s">
        <v>618</v>
      </c>
      <c r="D28" s="37">
        <v>0.5</v>
      </c>
      <c r="E28" s="37">
        <v>1</v>
      </c>
      <c r="F28" s="37">
        <v>1</v>
      </c>
      <c r="G28" s="37">
        <v>0.5</v>
      </c>
      <c r="H28" s="37">
        <v>1</v>
      </c>
      <c r="I28" s="37">
        <v>0.5</v>
      </c>
      <c r="J28" s="37">
        <v>77.5</v>
      </c>
      <c r="K28" s="37">
        <v>22.5</v>
      </c>
      <c r="L28" s="72" t="s">
        <v>337</v>
      </c>
      <c r="M28" s="37" t="s">
        <v>613</v>
      </c>
    </row>
    <row r="29" spans="1:13" ht="18" customHeight="1" x14ac:dyDescent="0.25">
      <c r="A29" s="36">
        <v>24</v>
      </c>
      <c r="B29" s="6" t="s">
        <v>453</v>
      </c>
      <c r="C29" s="6" t="s">
        <v>618</v>
      </c>
      <c r="D29" s="36">
        <v>0</v>
      </c>
      <c r="E29" s="36">
        <v>0</v>
      </c>
      <c r="F29" s="36">
        <v>0</v>
      </c>
      <c r="G29" s="36">
        <v>1</v>
      </c>
      <c r="H29" s="36">
        <v>0.5</v>
      </c>
      <c r="I29" s="36">
        <v>1</v>
      </c>
      <c r="J29" s="36">
        <v>25</v>
      </c>
      <c r="K29" s="36">
        <v>75</v>
      </c>
      <c r="L29" s="9" t="s">
        <v>328</v>
      </c>
      <c r="M29" s="36" t="s">
        <v>611</v>
      </c>
    </row>
    <row r="30" spans="1:13" ht="18" customHeight="1" x14ac:dyDescent="0.25">
      <c r="A30" s="37">
        <v>25</v>
      </c>
      <c r="B30" s="3" t="s">
        <v>457</v>
      </c>
      <c r="C30" s="3" t="s">
        <v>618</v>
      </c>
      <c r="D30" s="37">
        <v>1</v>
      </c>
      <c r="E30" s="37">
        <v>0.5</v>
      </c>
      <c r="F30" s="37">
        <v>1</v>
      </c>
      <c r="G30" s="37">
        <v>0.5</v>
      </c>
      <c r="H30" s="37">
        <v>0.5</v>
      </c>
      <c r="I30" s="37">
        <v>1</v>
      </c>
      <c r="J30" s="37">
        <v>75</v>
      </c>
      <c r="K30" s="37">
        <v>25</v>
      </c>
      <c r="L30" s="8" t="s">
        <v>337</v>
      </c>
      <c r="M30" s="37" t="s">
        <v>613</v>
      </c>
    </row>
  </sheetData>
  <mergeCells count="4">
    <mergeCell ref="A5:C5"/>
    <mergeCell ref="A3:N3"/>
    <mergeCell ref="A2:N2"/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M30"/>
  <sheetViews>
    <sheetView showGridLines="0" topLeftCell="A11" zoomScaleNormal="100" workbookViewId="0">
      <selection activeCell="D6" sqref="D6"/>
    </sheetView>
  </sheetViews>
  <sheetFormatPr defaultColWidth="8.7109375" defaultRowHeight="15" x14ac:dyDescent="0.25"/>
  <cols>
    <col min="1" max="1" width="16.85546875" customWidth="1"/>
    <col min="2" max="2" width="26" customWidth="1"/>
    <col min="3" max="3" width="22.7109375" customWidth="1"/>
    <col min="4" max="4" width="20.7109375" customWidth="1"/>
    <col min="5" max="5" width="10.140625" customWidth="1"/>
    <col min="6" max="7" width="10" customWidth="1"/>
    <col min="8" max="9" width="10.7109375" customWidth="1"/>
    <col min="10" max="10" width="12.7109375" customWidth="1"/>
    <col min="11" max="11" width="8" customWidth="1"/>
    <col min="12" max="12" width="14" customWidth="1"/>
    <col min="13" max="13" width="43.140625" customWidth="1"/>
  </cols>
  <sheetData>
    <row r="1" spans="1:13" ht="36" customHeight="1" x14ac:dyDescent="0.25">
      <c r="A1" s="243" t="s">
        <v>619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</row>
    <row r="2" spans="1:13" ht="18" customHeight="1" x14ac:dyDescent="0.25">
      <c r="A2" s="242" t="s">
        <v>620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</row>
    <row r="4" spans="1:13" ht="19.5" customHeight="1" x14ac:dyDescent="0.25">
      <c r="A4" s="256" t="s">
        <v>621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</row>
    <row r="5" spans="1:13" ht="39.75" customHeight="1" x14ac:dyDescent="0.25">
      <c r="A5" s="74">
        <v>1</v>
      </c>
      <c r="B5" s="74" t="s">
        <v>353</v>
      </c>
      <c r="C5" s="74" t="s">
        <v>610</v>
      </c>
      <c r="D5" s="74">
        <v>70</v>
      </c>
      <c r="E5" s="74">
        <v>70</v>
      </c>
      <c r="F5" s="74">
        <v>0</v>
      </c>
      <c r="G5" s="74" t="s">
        <v>622</v>
      </c>
      <c r="H5" s="74" t="s">
        <v>623</v>
      </c>
      <c r="I5" s="74" t="s">
        <v>622</v>
      </c>
      <c r="J5" s="74" t="s">
        <v>362</v>
      </c>
      <c r="K5" s="74" t="s">
        <v>622</v>
      </c>
      <c r="L5" s="74" t="s">
        <v>328</v>
      </c>
      <c r="M5" s="74" t="s">
        <v>624</v>
      </c>
    </row>
    <row r="6" spans="1:13" ht="18" customHeight="1" x14ac:dyDescent="0.25">
      <c r="A6" s="66">
        <v>2</v>
      </c>
      <c r="B6" s="67" t="s">
        <v>363</v>
      </c>
      <c r="C6" s="67" t="s">
        <v>612</v>
      </c>
      <c r="D6" s="66">
        <v>20</v>
      </c>
      <c r="E6" s="66">
        <v>65</v>
      </c>
      <c r="F6" s="66">
        <v>45</v>
      </c>
      <c r="G6" s="66" t="s">
        <v>362</v>
      </c>
      <c r="H6" s="66" t="s">
        <v>362</v>
      </c>
      <c r="I6" s="66" t="s">
        <v>623</v>
      </c>
      <c r="J6" s="66" t="s">
        <v>362</v>
      </c>
      <c r="K6" s="66" t="s">
        <v>623</v>
      </c>
      <c r="L6" s="68" t="s">
        <v>337</v>
      </c>
      <c r="M6" s="67" t="s">
        <v>625</v>
      </c>
    </row>
    <row r="7" spans="1:13" ht="18" customHeight="1" x14ac:dyDescent="0.25">
      <c r="A7" s="36">
        <v>3</v>
      </c>
      <c r="B7" s="6" t="s">
        <v>369</v>
      </c>
      <c r="C7" s="6" t="s">
        <v>614</v>
      </c>
      <c r="D7" s="36">
        <v>65</v>
      </c>
      <c r="E7" s="36">
        <v>60</v>
      </c>
      <c r="F7" s="75">
        <v>-5</v>
      </c>
      <c r="G7" s="36" t="s">
        <v>622</v>
      </c>
      <c r="H7" s="36" t="s">
        <v>623</v>
      </c>
      <c r="I7" s="36" t="s">
        <v>623</v>
      </c>
      <c r="J7" s="36" t="s">
        <v>623</v>
      </c>
      <c r="K7" s="36" t="s">
        <v>623</v>
      </c>
      <c r="L7" s="69" t="s">
        <v>331</v>
      </c>
      <c r="M7" s="6" t="s">
        <v>626</v>
      </c>
    </row>
    <row r="8" spans="1:13" ht="18" customHeight="1" x14ac:dyDescent="0.25">
      <c r="A8" s="37">
        <v>4</v>
      </c>
      <c r="B8" s="3" t="s">
        <v>374</v>
      </c>
      <c r="C8" s="3" t="s">
        <v>616</v>
      </c>
      <c r="D8" s="37">
        <v>27.5</v>
      </c>
      <c r="E8" s="37">
        <v>50</v>
      </c>
      <c r="F8" s="37">
        <v>22.5</v>
      </c>
      <c r="G8" s="37" t="s">
        <v>362</v>
      </c>
      <c r="H8" s="37" t="s">
        <v>362</v>
      </c>
      <c r="I8" s="37" t="s">
        <v>622</v>
      </c>
      <c r="J8" s="37" t="s">
        <v>623</v>
      </c>
      <c r="K8" s="37" t="s">
        <v>362</v>
      </c>
      <c r="L8" s="70" t="s">
        <v>337</v>
      </c>
      <c r="M8" s="3" t="s">
        <v>625</v>
      </c>
    </row>
    <row r="9" spans="1:13" ht="18" customHeight="1" x14ac:dyDescent="0.25">
      <c r="A9" s="36">
        <v>5</v>
      </c>
      <c r="B9" s="6" t="s">
        <v>379</v>
      </c>
      <c r="C9" s="6" t="s">
        <v>610</v>
      </c>
      <c r="D9" s="36">
        <v>82.5</v>
      </c>
      <c r="E9" s="36">
        <v>75</v>
      </c>
      <c r="F9" s="75">
        <v>-7.5</v>
      </c>
      <c r="G9" s="36" t="s">
        <v>622</v>
      </c>
      <c r="H9" s="36" t="s">
        <v>622</v>
      </c>
      <c r="I9" s="36" t="s">
        <v>622</v>
      </c>
      <c r="J9" s="36" t="s">
        <v>362</v>
      </c>
      <c r="K9" s="36" t="s">
        <v>622</v>
      </c>
      <c r="L9" s="69" t="s">
        <v>328</v>
      </c>
      <c r="M9" s="6" t="s">
        <v>624</v>
      </c>
    </row>
    <row r="10" spans="1:13" ht="18" customHeight="1" x14ac:dyDescent="0.25">
      <c r="A10" s="37">
        <v>6</v>
      </c>
      <c r="B10" s="3" t="s">
        <v>383</v>
      </c>
      <c r="C10" s="3" t="s">
        <v>612</v>
      </c>
      <c r="D10" s="37">
        <v>57.5</v>
      </c>
      <c r="E10" s="37">
        <v>70</v>
      </c>
      <c r="F10" s="37">
        <v>12.5</v>
      </c>
      <c r="G10" s="37" t="s">
        <v>622</v>
      </c>
      <c r="H10" s="37" t="s">
        <v>623</v>
      </c>
      <c r="I10" s="37" t="s">
        <v>623</v>
      </c>
      <c r="J10" s="37" t="s">
        <v>362</v>
      </c>
      <c r="K10" s="37" t="s">
        <v>623</v>
      </c>
      <c r="L10" s="70" t="s">
        <v>331</v>
      </c>
      <c r="M10" s="3" t="s">
        <v>626</v>
      </c>
    </row>
    <row r="11" spans="1:13" ht="18" customHeight="1" x14ac:dyDescent="0.25">
      <c r="A11" s="36">
        <v>7</v>
      </c>
      <c r="B11" s="6" t="s">
        <v>387</v>
      </c>
      <c r="C11" s="6" t="s">
        <v>614</v>
      </c>
      <c r="D11" s="36">
        <v>60</v>
      </c>
      <c r="E11" s="36">
        <v>60</v>
      </c>
      <c r="F11" s="36">
        <v>0</v>
      </c>
      <c r="G11" s="36" t="s">
        <v>362</v>
      </c>
      <c r="H11" s="36" t="s">
        <v>622</v>
      </c>
      <c r="I11" s="36" t="s">
        <v>622</v>
      </c>
      <c r="J11" s="36" t="s">
        <v>362</v>
      </c>
      <c r="K11" s="36" t="s">
        <v>622</v>
      </c>
      <c r="L11" s="71" t="s">
        <v>331</v>
      </c>
      <c r="M11" s="6" t="s">
        <v>626</v>
      </c>
    </row>
    <row r="12" spans="1:13" ht="18" customHeight="1" x14ac:dyDescent="0.25">
      <c r="A12" s="37">
        <v>8</v>
      </c>
      <c r="B12" s="3" t="s">
        <v>391</v>
      </c>
      <c r="C12" s="3" t="s">
        <v>617</v>
      </c>
      <c r="D12" s="37">
        <v>72.5</v>
      </c>
      <c r="E12" s="37">
        <v>65</v>
      </c>
      <c r="F12" s="37">
        <v>-7.5</v>
      </c>
      <c r="G12" s="37" t="s">
        <v>622</v>
      </c>
      <c r="H12" s="37" t="s">
        <v>622</v>
      </c>
      <c r="I12" s="37" t="s">
        <v>623</v>
      </c>
      <c r="J12" s="37" t="s">
        <v>623</v>
      </c>
      <c r="K12" s="37" t="s">
        <v>623</v>
      </c>
      <c r="L12" s="72" t="s">
        <v>328</v>
      </c>
      <c r="M12" s="3" t="s">
        <v>624</v>
      </c>
    </row>
    <row r="13" spans="1:13" ht="18" customHeight="1" x14ac:dyDescent="0.25">
      <c r="A13" s="36">
        <v>9</v>
      </c>
      <c r="B13" s="6" t="s">
        <v>395</v>
      </c>
      <c r="C13" s="6" t="s">
        <v>610</v>
      </c>
      <c r="D13" s="36">
        <v>92.5</v>
      </c>
      <c r="E13" s="36">
        <v>80</v>
      </c>
      <c r="F13" s="75">
        <v>-12.5</v>
      </c>
      <c r="G13" s="36" t="s">
        <v>622</v>
      </c>
      <c r="H13" s="36" t="s">
        <v>622</v>
      </c>
      <c r="I13" s="36" t="s">
        <v>622</v>
      </c>
      <c r="J13" s="36" t="s">
        <v>623</v>
      </c>
      <c r="K13" s="36" t="s">
        <v>622</v>
      </c>
      <c r="L13" s="69" t="s">
        <v>324</v>
      </c>
      <c r="M13" s="6" t="s">
        <v>627</v>
      </c>
    </row>
    <row r="14" spans="1:13" ht="18" customHeight="1" x14ac:dyDescent="0.25">
      <c r="A14" s="37">
        <v>10</v>
      </c>
      <c r="B14" s="3" t="s">
        <v>399</v>
      </c>
      <c r="C14" s="3" t="s">
        <v>612</v>
      </c>
      <c r="D14" s="37">
        <v>65</v>
      </c>
      <c r="E14" s="37">
        <v>70</v>
      </c>
      <c r="F14" s="37">
        <v>5</v>
      </c>
      <c r="G14" s="37" t="s">
        <v>622</v>
      </c>
      <c r="H14" s="37" t="s">
        <v>623</v>
      </c>
      <c r="I14" s="37" t="s">
        <v>622</v>
      </c>
      <c r="J14" s="37" t="s">
        <v>362</v>
      </c>
      <c r="K14" s="37" t="s">
        <v>623</v>
      </c>
      <c r="L14" s="70" t="s">
        <v>331</v>
      </c>
      <c r="M14" s="3" t="s">
        <v>626</v>
      </c>
    </row>
    <row r="15" spans="1:13" ht="18" customHeight="1" x14ac:dyDescent="0.25">
      <c r="A15" s="36">
        <v>11</v>
      </c>
      <c r="B15" s="6" t="s">
        <v>402</v>
      </c>
      <c r="C15" s="6" t="s">
        <v>616</v>
      </c>
      <c r="D15" s="36">
        <v>5</v>
      </c>
      <c r="E15" s="36">
        <v>50</v>
      </c>
      <c r="F15" s="36">
        <v>45</v>
      </c>
      <c r="G15" s="36" t="s">
        <v>362</v>
      </c>
      <c r="H15" s="36" t="s">
        <v>362</v>
      </c>
      <c r="I15" s="36" t="s">
        <v>362</v>
      </c>
      <c r="J15" s="36" t="s">
        <v>362</v>
      </c>
      <c r="K15" s="36" t="s">
        <v>623</v>
      </c>
      <c r="L15" s="73" t="s">
        <v>337</v>
      </c>
      <c r="M15" s="6" t="s">
        <v>625</v>
      </c>
    </row>
    <row r="16" spans="1:13" ht="18" customHeight="1" x14ac:dyDescent="0.25">
      <c r="A16" s="37">
        <v>12</v>
      </c>
      <c r="B16" s="3" t="s">
        <v>406</v>
      </c>
      <c r="C16" s="3" t="s">
        <v>610</v>
      </c>
      <c r="D16" s="37">
        <v>70</v>
      </c>
      <c r="E16" s="37">
        <v>75</v>
      </c>
      <c r="F16" s="76">
        <v>5</v>
      </c>
      <c r="G16" s="37" t="s">
        <v>622</v>
      </c>
      <c r="H16" s="37" t="s">
        <v>622</v>
      </c>
      <c r="I16" s="37" t="s">
        <v>622</v>
      </c>
      <c r="J16" s="37" t="s">
        <v>362</v>
      </c>
      <c r="K16" s="37" t="s">
        <v>362</v>
      </c>
      <c r="L16" s="72" t="s">
        <v>328</v>
      </c>
      <c r="M16" s="3" t="s">
        <v>624</v>
      </c>
    </row>
    <row r="17" spans="1:13" ht="18" customHeight="1" x14ac:dyDescent="0.25">
      <c r="A17" s="36">
        <v>13</v>
      </c>
      <c r="B17" s="6" t="s">
        <v>409</v>
      </c>
      <c r="C17" s="6" t="s">
        <v>618</v>
      </c>
      <c r="D17" s="36">
        <v>70</v>
      </c>
      <c r="E17" s="36">
        <v>45</v>
      </c>
      <c r="F17" s="36">
        <v>-25</v>
      </c>
      <c r="G17" s="36" t="s">
        <v>622</v>
      </c>
      <c r="H17" s="36" t="s">
        <v>622</v>
      </c>
      <c r="I17" s="36" t="s">
        <v>622</v>
      </c>
      <c r="J17" s="36" t="s">
        <v>362</v>
      </c>
      <c r="K17" s="36" t="s">
        <v>362</v>
      </c>
      <c r="L17" s="73" t="s">
        <v>328</v>
      </c>
      <c r="M17" s="6" t="s">
        <v>624</v>
      </c>
    </row>
    <row r="18" spans="1:13" ht="18" customHeight="1" x14ac:dyDescent="0.25">
      <c r="A18" s="37">
        <v>14</v>
      </c>
      <c r="B18" s="3" t="s">
        <v>415</v>
      </c>
      <c r="C18" s="3" t="s">
        <v>618</v>
      </c>
      <c r="D18" s="37">
        <v>15</v>
      </c>
      <c r="E18" s="37">
        <v>45</v>
      </c>
      <c r="F18" s="76">
        <v>30</v>
      </c>
      <c r="G18" s="37" t="s">
        <v>362</v>
      </c>
      <c r="H18" s="37" t="s">
        <v>362</v>
      </c>
      <c r="I18" s="37" t="s">
        <v>623</v>
      </c>
      <c r="J18" s="37" t="s">
        <v>362</v>
      </c>
      <c r="K18" s="37" t="s">
        <v>362</v>
      </c>
      <c r="L18" s="72" t="s">
        <v>337</v>
      </c>
      <c r="M18" s="3" t="s">
        <v>625</v>
      </c>
    </row>
    <row r="19" spans="1:13" ht="18" customHeight="1" x14ac:dyDescent="0.25">
      <c r="A19" s="36">
        <v>15</v>
      </c>
      <c r="B19" s="6" t="s">
        <v>418</v>
      </c>
      <c r="C19" s="6" t="s">
        <v>618</v>
      </c>
      <c r="D19" s="36">
        <v>70</v>
      </c>
      <c r="E19" s="36">
        <v>40</v>
      </c>
      <c r="F19" s="36">
        <v>-30</v>
      </c>
      <c r="G19" s="36" t="s">
        <v>622</v>
      </c>
      <c r="H19" s="36" t="s">
        <v>622</v>
      </c>
      <c r="I19" s="36" t="s">
        <v>622</v>
      </c>
      <c r="J19" s="36" t="s">
        <v>362</v>
      </c>
      <c r="K19" s="36" t="s">
        <v>362</v>
      </c>
      <c r="L19" s="69" t="s">
        <v>328</v>
      </c>
      <c r="M19" s="6" t="s">
        <v>624</v>
      </c>
    </row>
    <row r="20" spans="1:13" ht="18" customHeight="1" x14ac:dyDescent="0.25">
      <c r="A20" s="37">
        <v>16</v>
      </c>
      <c r="B20" s="3" t="s">
        <v>423</v>
      </c>
      <c r="C20" s="3" t="s">
        <v>618</v>
      </c>
      <c r="D20" s="37">
        <v>25</v>
      </c>
      <c r="E20" s="37">
        <v>40</v>
      </c>
      <c r="F20" s="76">
        <v>15</v>
      </c>
      <c r="G20" s="37" t="s">
        <v>622</v>
      </c>
      <c r="H20" s="37" t="s">
        <v>362</v>
      </c>
      <c r="I20" s="37" t="s">
        <v>362</v>
      </c>
      <c r="J20" s="37" t="s">
        <v>362</v>
      </c>
      <c r="K20" s="37" t="s">
        <v>362</v>
      </c>
      <c r="L20" s="72" t="s">
        <v>337</v>
      </c>
      <c r="M20" s="3" t="s">
        <v>625</v>
      </c>
    </row>
    <row r="21" spans="1:13" ht="18" customHeight="1" x14ac:dyDescent="0.25">
      <c r="A21" s="36">
        <v>17</v>
      </c>
      <c r="B21" s="6" t="s">
        <v>427</v>
      </c>
      <c r="C21" s="6" t="s">
        <v>618</v>
      </c>
      <c r="D21" s="36">
        <v>70</v>
      </c>
      <c r="E21" s="36">
        <v>50</v>
      </c>
      <c r="F21" s="36">
        <v>-20</v>
      </c>
      <c r="G21" s="36" t="s">
        <v>622</v>
      </c>
      <c r="H21" s="36" t="s">
        <v>622</v>
      </c>
      <c r="I21" s="36" t="s">
        <v>622</v>
      </c>
      <c r="J21" s="36" t="s">
        <v>362</v>
      </c>
      <c r="K21" s="36" t="s">
        <v>362</v>
      </c>
      <c r="L21" s="9" t="s">
        <v>328</v>
      </c>
      <c r="M21" s="6" t="s">
        <v>624</v>
      </c>
    </row>
    <row r="22" spans="1:13" ht="18" customHeight="1" x14ac:dyDescent="0.25">
      <c r="A22" s="37">
        <v>18</v>
      </c>
      <c r="B22" s="3" t="s">
        <v>431</v>
      </c>
      <c r="C22" s="3" t="s">
        <v>618</v>
      </c>
      <c r="D22" s="37">
        <v>42.5</v>
      </c>
      <c r="E22" s="37">
        <v>55</v>
      </c>
      <c r="F22" s="76">
        <v>12.5</v>
      </c>
      <c r="G22" s="37" t="s">
        <v>622</v>
      </c>
      <c r="H22" s="37" t="s">
        <v>623</v>
      </c>
      <c r="I22" s="37" t="s">
        <v>362</v>
      </c>
      <c r="J22" s="37" t="s">
        <v>362</v>
      </c>
      <c r="K22" s="37" t="s">
        <v>623</v>
      </c>
      <c r="L22" s="72" t="s">
        <v>334</v>
      </c>
      <c r="M22" s="3" t="s">
        <v>628</v>
      </c>
    </row>
    <row r="23" spans="1:13" ht="18" customHeight="1" x14ac:dyDescent="0.25">
      <c r="A23" s="36">
        <v>19</v>
      </c>
      <c r="B23" s="6" t="s">
        <v>434</v>
      </c>
      <c r="C23" s="6" t="s">
        <v>618</v>
      </c>
      <c r="D23" s="36">
        <v>70</v>
      </c>
      <c r="E23" s="36">
        <v>30</v>
      </c>
      <c r="F23" s="75">
        <v>-40</v>
      </c>
      <c r="G23" s="36" t="s">
        <v>622</v>
      </c>
      <c r="H23" s="36" t="s">
        <v>622</v>
      </c>
      <c r="I23" s="36" t="s">
        <v>622</v>
      </c>
      <c r="J23" s="36" t="s">
        <v>362</v>
      </c>
      <c r="K23" s="36" t="s">
        <v>362</v>
      </c>
      <c r="L23" s="69" t="s">
        <v>328</v>
      </c>
      <c r="M23" s="6" t="s">
        <v>624</v>
      </c>
    </row>
    <row r="24" spans="1:13" ht="18" customHeight="1" x14ac:dyDescent="0.25">
      <c r="A24" s="37">
        <v>20</v>
      </c>
      <c r="B24" s="3" t="s">
        <v>438</v>
      </c>
      <c r="C24" s="3" t="s">
        <v>618</v>
      </c>
      <c r="D24" s="37">
        <v>70</v>
      </c>
      <c r="E24" s="37">
        <v>30</v>
      </c>
      <c r="F24" s="76">
        <v>-40</v>
      </c>
      <c r="G24" s="37" t="s">
        <v>622</v>
      </c>
      <c r="H24" s="37" t="s">
        <v>622</v>
      </c>
      <c r="I24" s="37" t="s">
        <v>622</v>
      </c>
      <c r="J24" s="37" t="s">
        <v>362</v>
      </c>
      <c r="K24" s="37" t="s">
        <v>362</v>
      </c>
      <c r="L24" s="72" t="s">
        <v>328</v>
      </c>
      <c r="M24" s="3" t="s">
        <v>624</v>
      </c>
    </row>
    <row r="25" spans="1:13" ht="18" customHeight="1" x14ac:dyDescent="0.25">
      <c r="A25" s="36">
        <v>21</v>
      </c>
      <c r="B25" s="6" t="s">
        <v>442</v>
      </c>
      <c r="C25" s="6" t="s">
        <v>618</v>
      </c>
      <c r="D25" s="36">
        <v>72.5</v>
      </c>
      <c r="E25" s="36">
        <v>75</v>
      </c>
      <c r="F25" s="75">
        <v>2.5</v>
      </c>
      <c r="G25" s="36" t="s">
        <v>622</v>
      </c>
      <c r="H25" s="36" t="s">
        <v>622</v>
      </c>
      <c r="I25" s="36" t="s">
        <v>623</v>
      </c>
      <c r="J25" s="36" t="s">
        <v>623</v>
      </c>
      <c r="K25" s="36" t="s">
        <v>623</v>
      </c>
      <c r="L25" s="69" t="s">
        <v>328</v>
      </c>
      <c r="M25" s="6" t="s">
        <v>624</v>
      </c>
    </row>
    <row r="26" spans="1:13" ht="18" customHeight="1" x14ac:dyDescent="0.25">
      <c r="A26" s="37">
        <v>22</v>
      </c>
      <c r="B26" s="3" t="s">
        <v>445</v>
      </c>
      <c r="C26" s="3" t="s">
        <v>618</v>
      </c>
      <c r="D26" s="37">
        <v>22.5</v>
      </c>
      <c r="E26" s="37">
        <v>50</v>
      </c>
      <c r="F26" s="37">
        <v>27.5</v>
      </c>
      <c r="G26" s="37" t="s">
        <v>623</v>
      </c>
      <c r="H26" s="37" t="s">
        <v>362</v>
      </c>
      <c r="I26" s="37" t="s">
        <v>362</v>
      </c>
      <c r="J26" s="37" t="s">
        <v>623</v>
      </c>
      <c r="K26" s="37" t="s">
        <v>362</v>
      </c>
      <c r="L26" s="70" t="s">
        <v>337</v>
      </c>
      <c r="M26" s="3" t="s">
        <v>625</v>
      </c>
    </row>
    <row r="27" spans="1:13" ht="18" customHeight="1" x14ac:dyDescent="0.25">
      <c r="A27" s="36">
        <v>23</v>
      </c>
      <c r="B27" s="6" t="s">
        <v>449</v>
      </c>
      <c r="C27" s="6" t="s">
        <v>618</v>
      </c>
      <c r="D27" s="36">
        <v>22.5</v>
      </c>
      <c r="E27" s="36">
        <v>50</v>
      </c>
      <c r="F27" s="36">
        <v>27.5</v>
      </c>
      <c r="G27" s="36" t="s">
        <v>623</v>
      </c>
      <c r="H27" s="36" t="s">
        <v>362</v>
      </c>
      <c r="I27" s="36" t="s">
        <v>362</v>
      </c>
      <c r="J27" s="36" t="s">
        <v>623</v>
      </c>
      <c r="K27" s="36" t="s">
        <v>362</v>
      </c>
      <c r="L27" s="71" t="s">
        <v>337</v>
      </c>
      <c r="M27" s="6" t="s">
        <v>625</v>
      </c>
    </row>
    <row r="28" spans="1:13" ht="18" customHeight="1" x14ac:dyDescent="0.25">
      <c r="A28" s="37">
        <v>24</v>
      </c>
      <c r="B28" s="3" t="s">
        <v>453</v>
      </c>
      <c r="C28" s="3" t="s">
        <v>618</v>
      </c>
      <c r="D28" s="37">
        <v>75</v>
      </c>
      <c r="E28" s="37">
        <v>35</v>
      </c>
      <c r="F28" s="37">
        <v>-40</v>
      </c>
      <c r="G28" s="37" t="s">
        <v>622</v>
      </c>
      <c r="H28" s="37" t="s">
        <v>622</v>
      </c>
      <c r="I28" s="37" t="s">
        <v>622</v>
      </c>
      <c r="J28" s="37" t="s">
        <v>362</v>
      </c>
      <c r="K28" s="37" t="s">
        <v>623</v>
      </c>
      <c r="L28" s="72" t="s">
        <v>328</v>
      </c>
      <c r="M28" s="3" t="s">
        <v>624</v>
      </c>
    </row>
    <row r="29" spans="1:13" ht="18" customHeight="1" x14ac:dyDescent="0.25">
      <c r="A29" s="36">
        <v>25</v>
      </c>
      <c r="B29" s="6" t="s">
        <v>457</v>
      </c>
      <c r="C29" s="6" t="s">
        <v>618</v>
      </c>
      <c r="D29" s="36">
        <v>25</v>
      </c>
      <c r="E29" s="36">
        <v>50</v>
      </c>
      <c r="F29" s="36">
        <v>25</v>
      </c>
      <c r="G29" s="36" t="s">
        <v>362</v>
      </c>
      <c r="H29" s="36" t="s">
        <v>623</v>
      </c>
      <c r="I29" s="36" t="s">
        <v>362</v>
      </c>
      <c r="J29" s="36" t="s">
        <v>623</v>
      </c>
      <c r="K29" s="36" t="s">
        <v>623</v>
      </c>
      <c r="L29" s="9" t="s">
        <v>337</v>
      </c>
      <c r="M29" s="6" t="s">
        <v>625</v>
      </c>
    </row>
    <row r="30" spans="1:13" ht="18" customHeight="1" x14ac:dyDescent="0.25">
      <c r="A30" s="37"/>
      <c r="B30" s="3"/>
      <c r="C30" s="3"/>
      <c r="D30" s="37"/>
      <c r="E30" s="37"/>
      <c r="F30" s="37"/>
      <c r="G30" s="37"/>
      <c r="H30" s="37"/>
      <c r="I30" s="37"/>
      <c r="J30" s="37"/>
      <c r="K30" s="37"/>
      <c r="L30" s="8"/>
      <c r="M30" s="3"/>
    </row>
  </sheetData>
  <mergeCells count="3">
    <mergeCell ref="A4:M4"/>
    <mergeCell ref="A2:M2"/>
    <mergeCell ref="A1:M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R37"/>
  <sheetViews>
    <sheetView showGridLines="0" topLeftCell="A28" zoomScaleNormal="100" workbookViewId="0">
      <selection activeCell="P26" sqref="P26"/>
    </sheetView>
  </sheetViews>
  <sheetFormatPr defaultColWidth="8.7109375" defaultRowHeight="15" x14ac:dyDescent="0.25"/>
  <cols>
    <col min="1" max="1" width="27.28515625" customWidth="1"/>
    <col min="2" max="2" width="24.42578125" customWidth="1"/>
    <col min="3" max="3" width="21.7109375" customWidth="1"/>
    <col min="4" max="4" width="18" customWidth="1"/>
    <col min="5" max="5" width="14" customWidth="1"/>
    <col min="6" max="6" width="15.140625" customWidth="1"/>
    <col min="7" max="7" width="12.7109375" customWidth="1"/>
    <col min="8" max="8" width="12.85546875" customWidth="1"/>
    <col min="9" max="9" width="15" customWidth="1"/>
    <col min="10" max="10" width="13.42578125" customWidth="1"/>
  </cols>
  <sheetData>
    <row r="1" spans="1:18" ht="39.75" customHeight="1" x14ac:dyDescent="0.25">
      <c r="A1" s="239" t="s">
        <v>629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</row>
    <row r="2" spans="1:18" ht="18" customHeight="1" x14ac:dyDescent="0.25">
      <c r="A2" s="242" t="s">
        <v>630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</row>
    <row r="3" spans="1:18" ht="18.75" customHeight="1" x14ac:dyDescent="0.3">
      <c r="A3" s="77" t="s">
        <v>631</v>
      </c>
      <c r="B3" s="77" t="s">
        <v>599</v>
      </c>
      <c r="C3" s="78" t="s">
        <v>632</v>
      </c>
      <c r="D3" s="77" t="s">
        <v>321</v>
      </c>
      <c r="E3" s="79" t="s">
        <v>633</v>
      </c>
      <c r="F3" s="79" t="s">
        <v>634</v>
      </c>
      <c r="G3" s="79" t="s">
        <v>635</v>
      </c>
      <c r="H3" s="79" t="s">
        <v>131</v>
      </c>
      <c r="I3" s="79" t="s">
        <v>636</v>
      </c>
      <c r="J3" s="79" t="s">
        <v>637</v>
      </c>
    </row>
    <row r="4" spans="1:18" ht="15" customHeight="1" x14ac:dyDescent="0.25">
      <c r="A4" s="80" t="s">
        <v>353</v>
      </c>
      <c r="B4" s="81" t="s">
        <v>638</v>
      </c>
      <c r="C4" s="82">
        <v>70</v>
      </c>
      <c r="D4" s="83" t="s">
        <v>328</v>
      </c>
      <c r="E4" s="84">
        <v>0</v>
      </c>
      <c r="F4" s="84">
        <v>0.5</v>
      </c>
      <c r="G4" s="84">
        <v>0</v>
      </c>
      <c r="H4" s="84">
        <v>1</v>
      </c>
      <c r="I4" s="84">
        <v>0</v>
      </c>
      <c r="J4" s="84">
        <v>0.5</v>
      </c>
    </row>
    <row r="5" spans="1:18" ht="15" customHeight="1" x14ac:dyDescent="0.25">
      <c r="A5" s="85" t="s">
        <v>363</v>
      </c>
      <c r="B5" s="86" t="s">
        <v>639</v>
      </c>
      <c r="C5" s="82">
        <v>20</v>
      </c>
      <c r="D5" s="83" t="s">
        <v>337</v>
      </c>
      <c r="E5" s="84">
        <v>1</v>
      </c>
      <c r="F5" s="84">
        <v>1</v>
      </c>
      <c r="G5" s="84">
        <v>0.5</v>
      </c>
      <c r="H5" s="84">
        <v>1</v>
      </c>
      <c r="I5" s="84">
        <v>0.5</v>
      </c>
      <c r="J5" s="84">
        <v>0</v>
      </c>
    </row>
    <row r="6" spans="1:18" ht="15" customHeight="1" x14ac:dyDescent="0.25">
      <c r="A6" s="85" t="s">
        <v>369</v>
      </c>
      <c r="B6" s="86" t="s">
        <v>640</v>
      </c>
      <c r="C6" s="82">
        <v>65</v>
      </c>
      <c r="D6" s="83" t="s">
        <v>331</v>
      </c>
      <c r="E6" s="84">
        <v>0</v>
      </c>
      <c r="F6" s="84">
        <v>0.5</v>
      </c>
      <c r="G6" s="84">
        <v>0.5</v>
      </c>
      <c r="H6" s="84">
        <v>0.5</v>
      </c>
      <c r="I6" s="84">
        <v>0.5</v>
      </c>
      <c r="J6" s="84">
        <v>0</v>
      </c>
    </row>
    <row r="7" spans="1:18" ht="15" customHeight="1" x14ac:dyDescent="0.25">
      <c r="A7" s="85" t="s">
        <v>374</v>
      </c>
      <c r="B7" s="86" t="s">
        <v>641</v>
      </c>
      <c r="C7" s="82">
        <v>27.5</v>
      </c>
      <c r="D7" s="83" t="s">
        <v>337</v>
      </c>
      <c r="E7" s="84">
        <v>1</v>
      </c>
      <c r="F7" s="84">
        <v>1</v>
      </c>
      <c r="G7" s="84">
        <v>0</v>
      </c>
      <c r="H7" s="84">
        <v>0.5</v>
      </c>
      <c r="I7" s="84">
        <v>1</v>
      </c>
      <c r="J7" s="84">
        <v>1</v>
      </c>
    </row>
    <row r="8" spans="1:18" ht="15" customHeight="1" x14ac:dyDescent="0.25">
      <c r="A8" s="85" t="s">
        <v>379</v>
      </c>
      <c r="B8" s="86" t="s">
        <v>638</v>
      </c>
      <c r="C8" s="82">
        <v>82.5</v>
      </c>
      <c r="D8" s="83" t="s">
        <v>328</v>
      </c>
      <c r="E8" s="84">
        <v>0</v>
      </c>
      <c r="F8" s="84">
        <v>0</v>
      </c>
      <c r="G8" s="84">
        <v>0</v>
      </c>
      <c r="H8" s="84">
        <v>1</v>
      </c>
      <c r="I8" s="84">
        <v>0</v>
      </c>
      <c r="J8" s="84">
        <v>0.5</v>
      </c>
    </row>
    <row r="9" spans="1:18" ht="15" customHeight="1" x14ac:dyDescent="0.25">
      <c r="A9" s="85" t="s">
        <v>383</v>
      </c>
      <c r="B9" s="86" t="s">
        <v>639</v>
      </c>
      <c r="C9" s="82">
        <v>57.5</v>
      </c>
      <c r="D9" s="83" t="s">
        <v>331</v>
      </c>
      <c r="E9" s="84">
        <v>0</v>
      </c>
      <c r="F9" s="84">
        <v>0.5</v>
      </c>
      <c r="G9" s="84">
        <v>0.5</v>
      </c>
      <c r="H9" s="84">
        <v>1</v>
      </c>
      <c r="I9" s="84">
        <v>0.5</v>
      </c>
      <c r="J9" s="84">
        <v>0</v>
      </c>
    </row>
    <row r="10" spans="1:18" ht="15" customHeight="1" x14ac:dyDescent="0.25">
      <c r="A10" s="83" t="s">
        <v>387</v>
      </c>
      <c r="B10" s="83" t="s">
        <v>640</v>
      </c>
      <c r="C10" s="82">
        <v>60</v>
      </c>
      <c r="D10" s="83" t="s">
        <v>331</v>
      </c>
      <c r="E10" s="84">
        <v>1</v>
      </c>
      <c r="F10" s="84">
        <v>0</v>
      </c>
      <c r="G10" s="84">
        <v>0</v>
      </c>
      <c r="H10" s="84">
        <v>1</v>
      </c>
      <c r="I10" s="84">
        <v>0</v>
      </c>
      <c r="J10" s="84">
        <v>0</v>
      </c>
    </row>
    <row r="11" spans="1:18" ht="15" customHeight="1" x14ac:dyDescent="0.25">
      <c r="A11" s="85" t="s">
        <v>391</v>
      </c>
      <c r="B11" s="83" t="s">
        <v>642</v>
      </c>
      <c r="C11" s="82">
        <v>72.5</v>
      </c>
      <c r="D11" s="83" t="s">
        <v>328</v>
      </c>
      <c r="E11" s="84">
        <v>0</v>
      </c>
      <c r="F11" s="84">
        <v>0</v>
      </c>
      <c r="G11" s="84">
        <v>0.5</v>
      </c>
      <c r="H11" s="84">
        <v>0.5</v>
      </c>
      <c r="I11" s="84">
        <v>0.5</v>
      </c>
      <c r="J11" s="84">
        <v>1</v>
      </c>
    </row>
    <row r="12" spans="1:18" ht="15.75" customHeight="1" x14ac:dyDescent="0.25">
      <c r="A12" s="80" t="s">
        <v>395</v>
      </c>
      <c r="B12" s="87" t="s">
        <v>638</v>
      </c>
      <c r="C12" s="88">
        <v>92.5</v>
      </c>
      <c r="D12" s="89" t="s">
        <v>324</v>
      </c>
      <c r="E12" s="90">
        <v>0</v>
      </c>
      <c r="F12" s="90">
        <v>0</v>
      </c>
      <c r="G12" s="91">
        <v>0</v>
      </c>
      <c r="H12" s="91">
        <v>0.5</v>
      </c>
      <c r="I12" s="91">
        <v>0</v>
      </c>
      <c r="J12" s="91">
        <v>0</v>
      </c>
    </row>
    <row r="13" spans="1:18" ht="15" customHeight="1" x14ac:dyDescent="0.25">
      <c r="A13" s="83" t="s">
        <v>399</v>
      </c>
      <c r="B13" s="84" t="s">
        <v>639</v>
      </c>
      <c r="C13" s="82">
        <v>65</v>
      </c>
      <c r="D13" s="83" t="s">
        <v>331</v>
      </c>
      <c r="E13" s="84">
        <v>0</v>
      </c>
      <c r="F13" s="84">
        <v>0.5</v>
      </c>
      <c r="G13" s="84">
        <v>0</v>
      </c>
      <c r="H13" s="84">
        <v>1</v>
      </c>
      <c r="I13" s="84">
        <v>0.5</v>
      </c>
      <c r="J13" s="84">
        <v>0.5</v>
      </c>
    </row>
    <row r="14" spans="1:18" ht="15" customHeight="1" x14ac:dyDescent="0.25">
      <c r="A14" s="83" t="s">
        <v>402</v>
      </c>
      <c r="B14" s="84" t="s">
        <v>641</v>
      </c>
      <c r="C14" s="82">
        <v>5</v>
      </c>
      <c r="D14" s="83" t="s">
        <v>337</v>
      </c>
      <c r="E14" s="84">
        <v>1</v>
      </c>
      <c r="F14" s="84">
        <v>1</v>
      </c>
      <c r="G14" s="84">
        <v>1</v>
      </c>
      <c r="H14" s="84">
        <v>1</v>
      </c>
      <c r="I14" s="84">
        <v>0.5</v>
      </c>
      <c r="J14" s="84">
        <v>1</v>
      </c>
    </row>
    <row r="15" spans="1:18" ht="15" customHeight="1" x14ac:dyDescent="0.25">
      <c r="A15" s="83" t="s">
        <v>406</v>
      </c>
      <c r="B15" s="84" t="s">
        <v>638</v>
      </c>
      <c r="C15" s="82">
        <v>70</v>
      </c>
      <c r="D15" s="83" t="s">
        <v>328</v>
      </c>
      <c r="E15" s="84">
        <v>0</v>
      </c>
      <c r="F15" s="84">
        <v>0</v>
      </c>
      <c r="G15" s="84">
        <v>0</v>
      </c>
      <c r="H15" s="84">
        <v>1</v>
      </c>
      <c r="I15" s="84">
        <v>1</v>
      </c>
      <c r="J15" s="84">
        <v>1</v>
      </c>
    </row>
    <row r="16" spans="1:18" ht="15" customHeight="1" x14ac:dyDescent="0.25">
      <c r="A16" s="83" t="s">
        <v>409</v>
      </c>
      <c r="B16" s="84" t="s">
        <v>643</v>
      </c>
      <c r="C16" s="82">
        <v>70</v>
      </c>
      <c r="D16" s="83" t="s">
        <v>328</v>
      </c>
      <c r="E16" s="84">
        <v>0</v>
      </c>
      <c r="F16" s="84">
        <v>0</v>
      </c>
      <c r="G16" s="84">
        <v>0</v>
      </c>
      <c r="H16" s="84">
        <v>1</v>
      </c>
      <c r="I16" s="84">
        <v>1</v>
      </c>
      <c r="J16" s="84">
        <v>1</v>
      </c>
    </row>
    <row r="17" spans="1:10" ht="15" customHeight="1" x14ac:dyDescent="0.25">
      <c r="A17" s="83" t="s">
        <v>415</v>
      </c>
      <c r="B17" s="84" t="s">
        <v>643</v>
      </c>
      <c r="C17" s="82">
        <v>15</v>
      </c>
      <c r="D17" s="83" t="s">
        <v>337</v>
      </c>
      <c r="E17" s="84">
        <v>1</v>
      </c>
      <c r="F17" s="84">
        <v>1</v>
      </c>
      <c r="G17" s="84">
        <v>0.5</v>
      </c>
      <c r="H17" s="84">
        <v>1</v>
      </c>
      <c r="I17" s="84">
        <v>1</v>
      </c>
      <c r="J17" s="84">
        <v>0</v>
      </c>
    </row>
    <row r="18" spans="1:10" ht="15" customHeight="1" x14ac:dyDescent="0.25">
      <c r="A18" s="92" t="s">
        <v>418</v>
      </c>
      <c r="B18" s="93" t="s">
        <v>643</v>
      </c>
      <c r="C18" s="94">
        <v>70</v>
      </c>
      <c r="D18" s="83" t="s">
        <v>328</v>
      </c>
      <c r="E18" s="84">
        <v>0</v>
      </c>
      <c r="F18" s="84">
        <v>0</v>
      </c>
      <c r="G18" s="84">
        <v>0</v>
      </c>
      <c r="H18" s="84">
        <v>1</v>
      </c>
      <c r="I18" s="84">
        <v>1</v>
      </c>
      <c r="J18" s="84">
        <v>1</v>
      </c>
    </row>
    <row r="19" spans="1:10" ht="15" customHeight="1" x14ac:dyDescent="0.25">
      <c r="A19" s="95" t="s">
        <v>423</v>
      </c>
      <c r="B19" s="96" t="s">
        <v>643</v>
      </c>
      <c r="C19" s="82">
        <v>25</v>
      </c>
      <c r="D19" s="83" t="s">
        <v>337</v>
      </c>
      <c r="E19" s="84">
        <v>0</v>
      </c>
      <c r="F19" s="84">
        <v>1</v>
      </c>
      <c r="G19" s="84">
        <v>1</v>
      </c>
      <c r="H19" s="84">
        <v>1</v>
      </c>
      <c r="I19" s="84">
        <v>1</v>
      </c>
      <c r="J19" s="84">
        <v>1</v>
      </c>
    </row>
    <row r="20" spans="1:10" ht="15" customHeight="1" x14ac:dyDescent="0.25">
      <c r="A20" s="95" t="s">
        <v>427</v>
      </c>
      <c r="B20" s="84" t="s">
        <v>643</v>
      </c>
      <c r="C20" s="82">
        <v>70</v>
      </c>
      <c r="D20" s="83" t="s">
        <v>328</v>
      </c>
      <c r="E20" s="84">
        <v>0</v>
      </c>
      <c r="F20" s="84">
        <v>0</v>
      </c>
      <c r="G20" s="84">
        <v>0</v>
      </c>
      <c r="H20" s="84">
        <v>1</v>
      </c>
      <c r="I20" s="84">
        <v>1</v>
      </c>
      <c r="J20" s="84">
        <v>1</v>
      </c>
    </row>
    <row r="21" spans="1:10" ht="15" customHeight="1" x14ac:dyDescent="0.25">
      <c r="A21" s="95" t="s">
        <v>431</v>
      </c>
      <c r="B21" s="84" t="s">
        <v>643</v>
      </c>
      <c r="C21" s="84">
        <v>42.5</v>
      </c>
      <c r="D21" s="83" t="s">
        <v>334</v>
      </c>
      <c r="E21" s="84">
        <v>0</v>
      </c>
      <c r="F21" s="84">
        <v>0.5</v>
      </c>
      <c r="G21" s="84">
        <v>1</v>
      </c>
      <c r="H21" s="84">
        <v>1</v>
      </c>
      <c r="I21" s="84">
        <v>0.5</v>
      </c>
      <c r="J21" s="84">
        <v>1</v>
      </c>
    </row>
    <row r="22" spans="1:10" ht="15.75" customHeight="1" x14ac:dyDescent="0.25">
      <c r="A22" s="80" t="s">
        <v>434</v>
      </c>
      <c r="B22" s="90" t="s">
        <v>643</v>
      </c>
      <c r="C22" s="97">
        <v>70</v>
      </c>
      <c r="D22" s="98" t="s">
        <v>328</v>
      </c>
      <c r="E22" s="91">
        <v>0</v>
      </c>
      <c r="F22" s="91">
        <v>0</v>
      </c>
      <c r="G22" s="91">
        <v>0</v>
      </c>
      <c r="H22" s="91">
        <v>1</v>
      </c>
      <c r="I22" s="91">
        <v>1</v>
      </c>
      <c r="J22" s="91">
        <v>1</v>
      </c>
    </row>
    <row r="23" spans="1:10" ht="15" customHeight="1" x14ac:dyDescent="0.25">
      <c r="A23" s="83" t="s">
        <v>438</v>
      </c>
      <c r="B23" s="84" t="s">
        <v>643</v>
      </c>
      <c r="C23" s="82">
        <v>70</v>
      </c>
      <c r="D23" s="83" t="s">
        <v>328</v>
      </c>
      <c r="E23" s="84">
        <v>0</v>
      </c>
      <c r="F23" s="84">
        <v>0</v>
      </c>
      <c r="G23" s="84">
        <v>0</v>
      </c>
      <c r="H23" s="84">
        <v>1</v>
      </c>
      <c r="I23" s="84">
        <v>1</v>
      </c>
      <c r="J23" s="84">
        <v>1</v>
      </c>
    </row>
    <row r="24" spans="1:10" ht="15" customHeight="1" x14ac:dyDescent="0.25">
      <c r="A24" s="83" t="s">
        <v>442</v>
      </c>
      <c r="B24" s="84" t="s">
        <v>643</v>
      </c>
      <c r="C24" s="82">
        <v>72.5</v>
      </c>
      <c r="D24" s="83" t="s">
        <v>328</v>
      </c>
      <c r="E24" s="84">
        <v>0</v>
      </c>
      <c r="F24" s="84">
        <v>0</v>
      </c>
      <c r="G24" s="84">
        <v>0.5</v>
      </c>
      <c r="H24" s="84">
        <v>0.5</v>
      </c>
      <c r="I24" s="84">
        <v>0.5</v>
      </c>
      <c r="J24" s="84">
        <v>1</v>
      </c>
    </row>
    <row r="25" spans="1:10" ht="15" customHeight="1" x14ac:dyDescent="0.25">
      <c r="A25" s="83" t="s">
        <v>445</v>
      </c>
      <c r="B25" s="84" t="s">
        <v>643</v>
      </c>
      <c r="C25" s="82">
        <v>22.5</v>
      </c>
      <c r="D25" s="83" t="s">
        <v>337</v>
      </c>
      <c r="E25" s="84">
        <v>0.5</v>
      </c>
      <c r="F25" s="84">
        <v>1</v>
      </c>
      <c r="G25" s="84">
        <v>1</v>
      </c>
      <c r="H25" s="84">
        <v>0.5</v>
      </c>
      <c r="I25" s="84">
        <v>1</v>
      </c>
      <c r="J25" s="84">
        <v>0.5</v>
      </c>
    </row>
    <row r="26" spans="1:10" ht="15" customHeight="1" x14ac:dyDescent="0.25">
      <c r="A26" s="83" t="s">
        <v>449</v>
      </c>
      <c r="B26" s="84" t="s">
        <v>643</v>
      </c>
      <c r="C26" s="82">
        <v>22.5</v>
      </c>
      <c r="D26" s="83" t="s">
        <v>337</v>
      </c>
      <c r="E26" s="84">
        <v>0.5</v>
      </c>
      <c r="F26" s="84">
        <v>1</v>
      </c>
      <c r="G26" s="84">
        <v>1</v>
      </c>
      <c r="H26" s="84">
        <v>0.5</v>
      </c>
      <c r="I26" s="84">
        <v>1</v>
      </c>
      <c r="J26" s="84">
        <v>0.5</v>
      </c>
    </row>
    <row r="27" spans="1:10" ht="15" customHeight="1" x14ac:dyDescent="0.25">
      <c r="A27" s="83" t="s">
        <v>453</v>
      </c>
      <c r="B27" s="84" t="s">
        <v>643</v>
      </c>
      <c r="C27" s="82">
        <v>75</v>
      </c>
      <c r="D27" s="83" t="s">
        <v>328</v>
      </c>
      <c r="E27" s="84">
        <v>0</v>
      </c>
      <c r="F27" s="84">
        <v>0</v>
      </c>
      <c r="G27" s="84">
        <v>0</v>
      </c>
      <c r="H27" s="84">
        <v>1</v>
      </c>
      <c r="I27" s="84">
        <v>0.5</v>
      </c>
      <c r="J27" s="84">
        <v>1</v>
      </c>
    </row>
    <row r="28" spans="1:10" ht="15" customHeight="1" x14ac:dyDescent="0.25">
      <c r="A28" s="84" t="s">
        <v>457</v>
      </c>
      <c r="B28" s="84" t="s">
        <v>643</v>
      </c>
      <c r="C28" s="84">
        <v>25</v>
      </c>
      <c r="D28" s="83" t="s">
        <v>337</v>
      </c>
      <c r="E28" s="84">
        <v>1</v>
      </c>
      <c r="F28" s="84">
        <v>0.5</v>
      </c>
      <c r="G28" s="84">
        <v>1</v>
      </c>
      <c r="H28" s="84">
        <v>0.5</v>
      </c>
      <c r="I28" s="84">
        <v>0.5</v>
      </c>
      <c r="J28" s="84">
        <v>1</v>
      </c>
    </row>
    <row r="31" spans="1:10" ht="15" customHeight="1" x14ac:dyDescent="0.25">
      <c r="A31" s="83" t="s">
        <v>644</v>
      </c>
      <c r="B31" s="83" t="s">
        <v>645</v>
      </c>
    </row>
    <row r="32" spans="1:10" ht="15" customHeight="1" x14ac:dyDescent="0.25">
      <c r="A32" s="83" t="s">
        <v>633</v>
      </c>
      <c r="B32" s="83">
        <v>8</v>
      </c>
    </row>
    <row r="33" spans="1:2" ht="15" customHeight="1" x14ac:dyDescent="0.25">
      <c r="A33" s="83" t="s">
        <v>483</v>
      </c>
      <c r="B33" s="83">
        <v>13</v>
      </c>
    </row>
    <row r="34" spans="1:2" ht="15" customHeight="1" x14ac:dyDescent="0.25">
      <c r="A34" s="83" t="s">
        <v>635</v>
      </c>
      <c r="B34" s="83">
        <v>12</v>
      </c>
    </row>
    <row r="35" spans="1:2" ht="15" customHeight="1" x14ac:dyDescent="0.25">
      <c r="A35" s="83" t="s">
        <v>131</v>
      </c>
      <c r="B35" s="83">
        <v>25</v>
      </c>
    </row>
    <row r="36" spans="1:2" ht="15" customHeight="1" x14ac:dyDescent="0.25">
      <c r="A36" s="99" t="s">
        <v>636</v>
      </c>
      <c r="B36" s="83"/>
    </row>
    <row r="37" spans="1:2" ht="15" customHeight="1" x14ac:dyDescent="0.25">
      <c r="A37" s="83" t="s">
        <v>637</v>
      </c>
      <c r="B37" s="83">
        <v>19</v>
      </c>
    </row>
  </sheetData>
  <mergeCells count="2">
    <mergeCell ref="A2:R2"/>
    <mergeCell ref="A1:R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N278"/>
  <sheetViews>
    <sheetView zoomScaleNormal="100" workbookViewId="0">
      <pane xSplit="1" ySplit="3" topLeftCell="B266" activePane="bottomRight" state="frozen"/>
      <selection pane="topRight" activeCell="B1" sqref="B1"/>
      <selection pane="bottomLeft" activeCell="A260" sqref="A260"/>
      <selection pane="bottomRight" activeCell="H278" sqref="H278"/>
    </sheetView>
  </sheetViews>
  <sheetFormatPr defaultColWidth="8.7109375" defaultRowHeight="15" x14ac:dyDescent="0.25"/>
  <cols>
    <col min="1" max="1" width="4" customWidth="1"/>
    <col min="2" max="2" width="28" customWidth="1"/>
    <col min="3" max="3" width="24" customWidth="1"/>
    <col min="4" max="4" width="18" customWidth="1"/>
    <col min="5" max="5" width="10" customWidth="1"/>
    <col min="6" max="6" width="11" customWidth="1"/>
    <col min="7" max="7" width="22" customWidth="1"/>
    <col min="8" max="8" width="20" customWidth="1"/>
    <col min="9" max="10" width="22" customWidth="1"/>
    <col min="11" max="11" width="14" customWidth="1"/>
    <col min="12" max="12" width="32" customWidth="1"/>
    <col min="13" max="13" width="14" customWidth="1"/>
    <col min="14" max="14" width="28" customWidth="1"/>
  </cols>
  <sheetData>
    <row r="1" spans="1:14" ht="37.5" customHeight="1" x14ac:dyDescent="0.25">
      <c r="A1" s="257" t="s">
        <v>647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</row>
    <row r="2" spans="1:14" ht="15.75" customHeight="1" x14ac:dyDescent="0.25">
      <c r="A2" s="262" t="s">
        <v>648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</row>
    <row r="3" spans="1:14" ht="33.75" customHeight="1" x14ac:dyDescent="0.25">
      <c r="A3" s="100" t="s">
        <v>17</v>
      </c>
      <c r="B3" s="100" t="s">
        <v>18</v>
      </c>
      <c r="C3" s="100" t="s">
        <v>97</v>
      </c>
      <c r="D3" s="100" t="s">
        <v>649</v>
      </c>
      <c r="E3" s="100" t="s">
        <v>98</v>
      </c>
      <c r="F3" s="100" t="s">
        <v>650</v>
      </c>
      <c r="G3" s="100" t="s">
        <v>464</v>
      </c>
      <c r="H3" s="100" t="s">
        <v>465</v>
      </c>
      <c r="I3" s="100" t="s">
        <v>651</v>
      </c>
      <c r="J3" s="100" t="s">
        <v>24</v>
      </c>
      <c r="K3" s="100" t="s">
        <v>652</v>
      </c>
      <c r="L3" s="100" t="s">
        <v>26</v>
      </c>
      <c r="M3" s="100" t="s">
        <v>653</v>
      </c>
      <c r="N3" s="100" t="s">
        <v>654</v>
      </c>
    </row>
    <row r="4" spans="1:14" ht="19.5" customHeight="1" x14ac:dyDescent="0.25">
      <c r="A4" s="259" t="s">
        <v>655</v>
      </c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1"/>
    </row>
    <row r="5" spans="1:14" ht="18.75" customHeight="1" x14ac:dyDescent="0.25">
      <c r="A5" s="34">
        <v>1</v>
      </c>
      <c r="B5" s="35" t="s">
        <v>101</v>
      </c>
      <c r="C5" s="35" t="s">
        <v>103</v>
      </c>
      <c r="D5" s="35" t="s">
        <v>105</v>
      </c>
      <c r="E5" s="101" t="s">
        <v>104</v>
      </c>
      <c r="F5" s="35"/>
      <c r="G5" s="35" t="s">
        <v>353</v>
      </c>
      <c r="H5" s="35" t="s">
        <v>354</v>
      </c>
      <c r="I5" s="35" t="s">
        <v>360</v>
      </c>
      <c r="J5" s="198">
        <v>35</v>
      </c>
      <c r="K5" s="35" t="s">
        <v>36</v>
      </c>
      <c r="L5" s="35" t="s">
        <v>656</v>
      </c>
      <c r="M5" s="35" t="s">
        <v>104</v>
      </c>
      <c r="N5" s="35" t="s">
        <v>657</v>
      </c>
    </row>
    <row r="6" spans="1:14" ht="18.75" customHeight="1" x14ac:dyDescent="0.25">
      <c r="A6" s="102">
        <v>2</v>
      </c>
      <c r="B6" s="103" t="s">
        <v>101</v>
      </c>
      <c r="C6" s="103" t="s">
        <v>103</v>
      </c>
      <c r="D6" s="103" t="s">
        <v>105</v>
      </c>
      <c r="E6" s="104" t="s">
        <v>104</v>
      </c>
      <c r="F6" s="103"/>
      <c r="G6" s="103" t="s">
        <v>363</v>
      </c>
      <c r="H6" s="103" t="s">
        <v>364</v>
      </c>
      <c r="I6" s="103" t="s">
        <v>367</v>
      </c>
      <c r="J6" s="199">
        <v>18</v>
      </c>
      <c r="K6" s="103" t="s">
        <v>480</v>
      </c>
      <c r="L6" s="103" t="s">
        <v>658</v>
      </c>
      <c r="M6" s="103" t="s">
        <v>412</v>
      </c>
      <c r="N6" s="103" t="s">
        <v>659</v>
      </c>
    </row>
    <row r="7" spans="1:14" ht="18.75" customHeight="1" x14ac:dyDescent="0.25">
      <c r="A7" s="102">
        <v>3</v>
      </c>
      <c r="B7" s="103" t="s">
        <v>101</v>
      </c>
      <c r="C7" s="103" t="s">
        <v>103</v>
      </c>
      <c r="D7" s="103" t="s">
        <v>105</v>
      </c>
      <c r="E7" s="104" t="s">
        <v>104</v>
      </c>
      <c r="F7" s="103"/>
      <c r="G7" s="103" t="s">
        <v>369</v>
      </c>
      <c r="H7" s="103" t="s">
        <v>370</v>
      </c>
      <c r="I7" s="103" t="s">
        <v>372</v>
      </c>
      <c r="J7" s="199">
        <v>15</v>
      </c>
      <c r="K7" s="103" t="s">
        <v>480</v>
      </c>
      <c r="L7" s="103" t="s">
        <v>658</v>
      </c>
      <c r="M7" s="103" t="s">
        <v>412</v>
      </c>
      <c r="N7" s="103" t="s">
        <v>659</v>
      </c>
    </row>
    <row r="8" spans="1:14" ht="18.75" customHeight="1" x14ac:dyDescent="0.25">
      <c r="A8" s="102">
        <v>4</v>
      </c>
      <c r="B8" s="103" t="s">
        <v>101</v>
      </c>
      <c r="C8" s="103" t="s">
        <v>103</v>
      </c>
      <c r="D8" s="103" t="s">
        <v>105</v>
      </c>
      <c r="E8" s="104" t="s">
        <v>104</v>
      </c>
      <c r="F8" s="103"/>
      <c r="G8" s="103" t="s">
        <v>374</v>
      </c>
      <c r="H8" s="103" t="s">
        <v>375</v>
      </c>
      <c r="I8" s="103" t="s">
        <v>377</v>
      </c>
      <c r="J8" s="199">
        <v>23</v>
      </c>
      <c r="K8" s="103" t="s">
        <v>36</v>
      </c>
      <c r="L8" s="103" t="s">
        <v>660</v>
      </c>
      <c r="M8" s="103" t="s">
        <v>104</v>
      </c>
      <c r="N8" s="103" t="s">
        <v>657</v>
      </c>
    </row>
    <row r="9" spans="1:14" ht="18.75" customHeight="1" x14ac:dyDescent="0.25">
      <c r="A9" s="102">
        <v>5</v>
      </c>
      <c r="B9" s="103" t="s">
        <v>101</v>
      </c>
      <c r="C9" s="103" t="s">
        <v>103</v>
      </c>
      <c r="D9" s="103" t="s">
        <v>105</v>
      </c>
      <c r="E9" s="104" t="s">
        <v>104</v>
      </c>
      <c r="F9" s="103"/>
      <c r="G9" s="103" t="s">
        <v>379</v>
      </c>
      <c r="H9" s="103" t="s">
        <v>380</v>
      </c>
      <c r="I9" s="103" t="s">
        <v>381</v>
      </c>
      <c r="J9" s="199">
        <v>22</v>
      </c>
      <c r="K9" s="103" t="s">
        <v>480</v>
      </c>
      <c r="L9" s="103" t="s">
        <v>658</v>
      </c>
      <c r="M9" s="103" t="s">
        <v>412</v>
      </c>
      <c r="N9" s="103" t="s">
        <v>659</v>
      </c>
    </row>
    <row r="10" spans="1:14" ht="18.75" customHeight="1" x14ac:dyDescent="0.25">
      <c r="A10" s="102">
        <v>6</v>
      </c>
      <c r="B10" s="103" t="s">
        <v>101</v>
      </c>
      <c r="C10" s="103" t="s">
        <v>103</v>
      </c>
      <c r="D10" s="103" t="s">
        <v>105</v>
      </c>
      <c r="E10" s="104" t="s">
        <v>104</v>
      </c>
      <c r="F10" s="103"/>
      <c r="G10" s="103" t="s">
        <v>383</v>
      </c>
      <c r="H10" s="103" t="s">
        <v>384</v>
      </c>
      <c r="I10" s="103" t="s">
        <v>385</v>
      </c>
      <c r="J10" s="199">
        <v>22</v>
      </c>
      <c r="K10" s="103" t="s">
        <v>36</v>
      </c>
      <c r="L10" s="103" t="s">
        <v>661</v>
      </c>
      <c r="M10" s="103" t="s">
        <v>104</v>
      </c>
      <c r="N10" s="103" t="s">
        <v>657</v>
      </c>
    </row>
    <row r="11" spans="1:14" ht="18.75" customHeight="1" x14ac:dyDescent="0.25">
      <c r="A11" s="102">
        <v>7</v>
      </c>
      <c r="B11" s="103" t="s">
        <v>101</v>
      </c>
      <c r="C11" s="103" t="s">
        <v>103</v>
      </c>
      <c r="D11" s="103" t="s">
        <v>105</v>
      </c>
      <c r="E11" s="104" t="s">
        <v>104</v>
      </c>
      <c r="F11" s="103"/>
      <c r="G11" s="103" t="s">
        <v>387</v>
      </c>
      <c r="H11" s="103" t="s">
        <v>388</v>
      </c>
      <c r="I11" s="103" t="s">
        <v>389</v>
      </c>
      <c r="J11" s="199">
        <v>19</v>
      </c>
      <c r="K11" s="103" t="s">
        <v>480</v>
      </c>
      <c r="L11" s="103" t="s">
        <v>658</v>
      </c>
      <c r="M11" s="103" t="s">
        <v>412</v>
      </c>
      <c r="N11" s="103" t="s">
        <v>659</v>
      </c>
    </row>
    <row r="12" spans="1:14" ht="18.75" customHeight="1" x14ac:dyDescent="0.25">
      <c r="A12" s="102">
        <v>8</v>
      </c>
      <c r="B12" s="103" t="s">
        <v>101</v>
      </c>
      <c r="C12" s="103" t="s">
        <v>103</v>
      </c>
      <c r="D12" s="103" t="s">
        <v>105</v>
      </c>
      <c r="E12" s="104" t="s">
        <v>104</v>
      </c>
      <c r="F12" s="103"/>
      <c r="G12" s="103" t="s">
        <v>391</v>
      </c>
      <c r="H12" s="103" t="s">
        <v>392</v>
      </c>
      <c r="I12" s="103" t="s">
        <v>393</v>
      </c>
      <c r="J12" s="199">
        <v>18</v>
      </c>
      <c r="K12" s="103" t="s">
        <v>480</v>
      </c>
      <c r="L12" s="103" t="s">
        <v>658</v>
      </c>
      <c r="M12" s="103" t="s">
        <v>412</v>
      </c>
      <c r="N12" s="103" t="s">
        <v>659</v>
      </c>
    </row>
    <row r="13" spans="1:14" ht="18.75" customHeight="1" x14ac:dyDescent="0.25">
      <c r="A13" s="102">
        <v>9</v>
      </c>
      <c r="B13" s="103" t="s">
        <v>101</v>
      </c>
      <c r="C13" s="103" t="s">
        <v>103</v>
      </c>
      <c r="D13" s="103" t="s">
        <v>105</v>
      </c>
      <c r="E13" s="104" t="s">
        <v>104</v>
      </c>
      <c r="F13" s="103"/>
      <c r="G13" s="103" t="s">
        <v>395</v>
      </c>
      <c r="H13" s="103" t="s">
        <v>396</v>
      </c>
      <c r="I13" s="103" t="s">
        <v>360</v>
      </c>
      <c r="J13" s="199">
        <v>32</v>
      </c>
      <c r="K13" s="103" t="s">
        <v>36</v>
      </c>
      <c r="L13" s="103" t="s">
        <v>662</v>
      </c>
      <c r="M13" s="103" t="s">
        <v>104</v>
      </c>
      <c r="N13" s="103" t="s">
        <v>657</v>
      </c>
    </row>
    <row r="14" spans="1:14" ht="18.75" customHeight="1" x14ac:dyDescent="0.25">
      <c r="A14" s="102">
        <v>10</v>
      </c>
      <c r="B14" s="103" t="s">
        <v>101</v>
      </c>
      <c r="C14" s="103" t="s">
        <v>103</v>
      </c>
      <c r="D14" s="103" t="s">
        <v>105</v>
      </c>
      <c r="E14" s="104" t="s">
        <v>104</v>
      </c>
      <c r="F14" s="103"/>
      <c r="G14" s="103" t="s">
        <v>399</v>
      </c>
      <c r="H14" s="103" t="s">
        <v>400</v>
      </c>
      <c r="I14" s="103" t="s">
        <v>372</v>
      </c>
      <c r="J14" s="199">
        <v>17</v>
      </c>
      <c r="K14" s="103" t="s">
        <v>480</v>
      </c>
      <c r="L14" s="103" t="s">
        <v>658</v>
      </c>
      <c r="M14" s="103" t="s">
        <v>412</v>
      </c>
      <c r="N14" s="103" t="s">
        <v>659</v>
      </c>
    </row>
    <row r="15" spans="1:14" ht="18.75" customHeight="1" x14ac:dyDescent="0.25">
      <c r="A15" s="102">
        <v>11</v>
      </c>
      <c r="B15" s="103" t="s">
        <v>101</v>
      </c>
      <c r="C15" s="103" t="s">
        <v>103</v>
      </c>
      <c r="D15" s="103" t="s">
        <v>105</v>
      </c>
      <c r="E15" s="104" t="s">
        <v>104</v>
      </c>
      <c r="F15" s="103"/>
      <c r="G15" s="103" t="s">
        <v>402</v>
      </c>
      <c r="H15" s="103" t="s">
        <v>403</v>
      </c>
      <c r="I15" s="103" t="s">
        <v>404</v>
      </c>
      <c r="J15" s="199">
        <v>33</v>
      </c>
      <c r="K15" s="103" t="s">
        <v>36</v>
      </c>
      <c r="L15" s="103" t="s">
        <v>663</v>
      </c>
      <c r="M15" s="103" t="s">
        <v>104</v>
      </c>
      <c r="N15" s="103" t="s">
        <v>657</v>
      </c>
    </row>
    <row r="16" spans="1:14" ht="18.75" customHeight="1" x14ac:dyDescent="0.25">
      <c r="A16" s="102">
        <v>12</v>
      </c>
      <c r="B16" s="103" t="s">
        <v>101</v>
      </c>
      <c r="C16" s="103" t="s">
        <v>103</v>
      </c>
      <c r="D16" s="103" t="s">
        <v>105</v>
      </c>
      <c r="E16" s="104" t="s">
        <v>104</v>
      </c>
      <c r="F16" s="103"/>
      <c r="G16" s="103" t="s">
        <v>406</v>
      </c>
      <c r="H16" s="103" t="s">
        <v>407</v>
      </c>
      <c r="I16" s="103" t="s">
        <v>367</v>
      </c>
      <c r="J16" s="199">
        <v>28</v>
      </c>
      <c r="K16" s="103" t="s">
        <v>480</v>
      </c>
      <c r="L16" s="103" t="s">
        <v>658</v>
      </c>
      <c r="M16" s="103" t="s">
        <v>412</v>
      </c>
      <c r="N16" s="103" t="s">
        <v>659</v>
      </c>
    </row>
    <row r="17" spans="1:14" ht="18.75" customHeight="1" x14ac:dyDescent="0.25">
      <c r="A17" s="102">
        <v>13</v>
      </c>
      <c r="B17" s="103" t="s">
        <v>101</v>
      </c>
      <c r="C17" s="103" t="s">
        <v>103</v>
      </c>
      <c r="D17" s="103" t="s">
        <v>105</v>
      </c>
      <c r="E17" s="104" t="s">
        <v>104</v>
      </c>
      <c r="F17" s="103"/>
      <c r="G17" s="103" t="s">
        <v>409</v>
      </c>
      <c r="H17" s="103" t="s">
        <v>410</v>
      </c>
      <c r="I17" s="103" t="s">
        <v>360</v>
      </c>
      <c r="J17" s="199">
        <v>16</v>
      </c>
      <c r="K17" s="103" t="s">
        <v>36</v>
      </c>
      <c r="L17" s="103" t="s">
        <v>664</v>
      </c>
      <c r="M17" s="103" t="s">
        <v>104</v>
      </c>
      <c r="N17" s="103" t="s">
        <v>657</v>
      </c>
    </row>
    <row r="18" spans="1:14" ht="18.75" customHeight="1" x14ac:dyDescent="0.25">
      <c r="A18" s="102">
        <v>14</v>
      </c>
      <c r="B18" s="103" t="s">
        <v>101</v>
      </c>
      <c r="C18" s="103" t="s">
        <v>103</v>
      </c>
      <c r="D18" s="103" t="s">
        <v>105</v>
      </c>
      <c r="E18" s="104" t="s">
        <v>104</v>
      </c>
      <c r="F18" s="103"/>
      <c r="G18" s="103" t="s">
        <v>415</v>
      </c>
      <c r="H18" s="103" t="s">
        <v>416</v>
      </c>
      <c r="I18" s="103" t="s">
        <v>385</v>
      </c>
      <c r="J18" s="199">
        <v>15</v>
      </c>
      <c r="K18" s="103" t="s">
        <v>36</v>
      </c>
      <c r="L18" s="103" t="s">
        <v>665</v>
      </c>
      <c r="M18" s="103" t="s">
        <v>104</v>
      </c>
      <c r="N18" s="103" t="s">
        <v>657</v>
      </c>
    </row>
    <row r="19" spans="1:14" ht="18.75" customHeight="1" x14ac:dyDescent="0.25">
      <c r="A19" s="102">
        <v>15</v>
      </c>
      <c r="B19" s="103" t="s">
        <v>101</v>
      </c>
      <c r="C19" s="103" t="s">
        <v>103</v>
      </c>
      <c r="D19" s="103" t="s">
        <v>105</v>
      </c>
      <c r="E19" s="104" t="s">
        <v>104</v>
      </c>
      <c r="F19" s="103"/>
      <c r="G19" s="103" t="s">
        <v>418</v>
      </c>
      <c r="H19" s="103" t="s">
        <v>419</v>
      </c>
      <c r="I19" s="103" t="s">
        <v>421</v>
      </c>
      <c r="J19" s="199">
        <v>17</v>
      </c>
      <c r="K19" s="103" t="s">
        <v>480</v>
      </c>
      <c r="L19" s="103" t="s">
        <v>658</v>
      </c>
      <c r="M19" s="103" t="s">
        <v>412</v>
      </c>
      <c r="N19" s="103" t="s">
        <v>659</v>
      </c>
    </row>
    <row r="20" spans="1:14" ht="18.75" customHeight="1" x14ac:dyDescent="0.25">
      <c r="A20" s="102">
        <v>16</v>
      </c>
      <c r="B20" s="103" t="s">
        <v>101</v>
      </c>
      <c r="C20" s="103" t="s">
        <v>103</v>
      </c>
      <c r="D20" s="103" t="s">
        <v>105</v>
      </c>
      <c r="E20" s="104" t="s">
        <v>104</v>
      </c>
      <c r="F20" s="103"/>
      <c r="G20" s="103" t="s">
        <v>423</v>
      </c>
      <c r="H20" s="103" t="s">
        <v>424</v>
      </c>
      <c r="I20" s="103" t="s">
        <v>425</v>
      </c>
      <c r="J20" s="199">
        <v>21</v>
      </c>
      <c r="K20" s="103" t="s">
        <v>36</v>
      </c>
      <c r="L20" s="103" t="s">
        <v>666</v>
      </c>
      <c r="M20" s="103" t="s">
        <v>104</v>
      </c>
      <c r="N20" s="103" t="s">
        <v>657</v>
      </c>
    </row>
    <row r="21" spans="1:14" ht="18.75" customHeight="1" x14ac:dyDescent="0.25">
      <c r="A21" s="102">
        <v>17</v>
      </c>
      <c r="B21" s="103" t="s">
        <v>101</v>
      </c>
      <c r="C21" s="103" t="s">
        <v>103</v>
      </c>
      <c r="D21" s="103" t="s">
        <v>105</v>
      </c>
      <c r="E21" s="104" t="s">
        <v>104</v>
      </c>
      <c r="F21" s="103"/>
      <c r="G21" s="103" t="s">
        <v>427</v>
      </c>
      <c r="H21" s="103" t="s">
        <v>428</v>
      </c>
      <c r="I21" s="103" t="s">
        <v>429</v>
      </c>
      <c r="J21" s="199">
        <v>22</v>
      </c>
      <c r="K21" s="103" t="s">
        <v>480</v>
      </c>
      <c r="L21" s="103" t="s">
        <v>658</v>
      </c>
      <c r="M21" s="103" t="s">
        <v>412</v>
      </c>
      <c r="N21" s="103" t="s">
        <v>659</v>
      </c>
    </row>
    <row r="22" spans="1:14" ht="18.75" customHeight="1" x14ac:dyDescent="0.25">
      <c r="A22" s="102">
        <v>18</v>
      </c>
      <c r="B22" s="103" t="s">
        <v>101</v>
      </c>
      <c r="C22" s="103" t="s">
        <v>103</v>
      </c>
      <c r="D22" s="103" t="s">
        <v>105</v>
      </c>
      <c r="E22" s="104" t="s">
        <v>104</v>
      </c>
      <c r="F22" s="103"/>
      <c r="G22" s="103" t="s">
        <v>431</v>
      </c>
      <c r="H22" s="103" t="s">
        <v>432</v>
      </c>
      <c r="I22" s="103" t="s">
        <v>360</v>
      </c>
      <c r="J22" s="199">
        <v>31</v>
      </c>
      <c r="K22" s="103" t="s">
        <v>36</v>
      </c>
      <c r="L22" s="103" t="s">
        <v>667</v>
      </c>
      <c r="M22" s="103" t="s">
        <v>104</v>
      </c>
      <c r="N22" s="103" t="s">
        <v>657</v>
      </c>
    </row>
    <row r="23" spans="1:14" ht="18.75" customHeight="1" x14ac:dyDescent="0.25">
      <c r="A23" s="102">
        <v>19</v>
      </c>
      <c r="B23" s="103" t="s">
        <v>101</v>
      </c>
      <c r="C23" s="103" t="s">
        <v>103</v>
      </c>
      <c r="D23" s="103" t="s">
        <v>105</v>
      </c>
      <c r="E23" s="104" t="s">
        <v>104</v>
      </c>
      <c r="F23" s="103"/>
      <c r="G23" s="103" t="s">
        <v>434</v>
      </c>
      <c r="H23" s="103" t="s">
        <v>435</v>
      </c>
      <c r="I23" s="103" t="s">
        <v>436</v>
      </c>
      <c r="J23" s="199">
        <v>34</v>
      </c>
      <c r="K23" s="103" t="s">
        <v>480</v>
      </c>
      <c r="L23" s="103" t="s">
        <v>658</v>
      </c>
      <c r="M23" s="103" t="s">
        <v>412</v>
      </c>
      <c r="N23" s="103" t="s">
        <v>659</v>
      </c>
    </row>
    <row r="24" spans="1:14" ht="18.75" customHeight="1" x14ac:dyDescent="0.25">
      <c r="A24" s="102">
        <v>20</v>
      </c>
      <c r="B24" s="103" t="s">
        <v>101</v>
      </c>
      <c r="C24" s="103" t="s">
        <v>103</v>
      </c>
      <c r="D24" s="103" t="s">
        <v>105</v>
      </c>
      <c r="E24" s="104" t="s">
        <v>104</v>
      </c>
      <c r="F24" s="103"/>
      <c r="G24" s="103" t="s">
        <v>438</v>
      </c>
      <c r="H24" s="103" t="s">
        <v>439</v>
      </c>
      <c r="I24" s="103" t="s">
        <v>440</v>
      </c>
      <c r="J24" s="199">
        <v>15</v>
      </c>
      <c r="K24" s="103" t="s">
        <v>36</v>
      </c>
      <c r="L24" s="103" t="s">
        <v>668</v>
      </c>
      <c r="M24" s="103" t="s">
        <v>104</v>
      </c>
      <c r="N24" s="103" t="s">
        <v>657</v>
      </c>
    </row>
    <row r="25" spans="1:14" ht="18.75" customHeight="1" x14ac:dyDescent="0.25">
      <c r="A25" s="102">
        <v>21</v>
      </c>
      <c r="B25" s="103" t="s">
        <v>101</v>
      </c>
      <c r="C25" s="103" t="s">
        <v>103</v>
      </c>
      <c r="D25" s="103" t="s">
        <v>105</v>
      </c>
      <c r="E25" s="104" t="s">
        <v>104</v>
      </c>
      <c r="F25" s="103"/>
      <c r="G25" s="103" t="s">
        <v>442</v>
      </c>
      <c r="H25" s="103" t="s">
        <v>443</v>
      </c>
      <c r="I25" s="103" t="s">
        <v>381</v>
      </c>
      <c r="J25" s="199">
        <v>32</v>
      </c>
      <c r="K25" s="103" t="s">
        <v>480</v>
      </c>
      <c r="L25" s="103" t="s">
        <v>658</v>
      </c>
      <c r="M25" s="103" t="s">
        <v>412</v>
      </c>
      <c r="N25" s="103" t="s">
        <v>659</v>
      </c>
    </row>
    <row r="26" spans="1:14" ht="18.75" customHeight="1" x14ac:dyDescent="0.25">
      <c r="A26" s="102">
        <v>22</v>
      </c>
      <c r="B26" s="103" t="s">
        <v>101</v>
      </c>
      <c r="C26" s="103" t="s">
        <v>103</v>
      </c>
      <c r="D26" s="103" t="s">
        <v>105</v>
      </c>
      <c r="E26" s="104" t="s">
        <v>104</v>
      </c>
      <c r="F26" s="103"/>
      <c r="G26" s="103" t="s">
        <v>445</v>
      </c>
      <c r="H26" s="103" t="s">
        <v>446</v>
      </c>
      <c r="I26" s="103" t="s">
        <v>372</v>
      </c>
      <c r="J26" s="199">
        <v>21</v>
      </c>
      <c r="K26" s="103" t="s">
        <v>36</v>
      </c>
      <c r="L26" s="103" t="s">
        <v>669</v>
      </c>
      <c r="M26" s="103" t="s">
        <v>104</v>
      </c>
      <c r="N26" s="103" t="s">
        <v>657</v>
      </c>
    </row>
    <row r="27" spans="1:14" ht="18.75" customHeight="1" x14ac:dyDescent="0.25">
      <c r="A27" s="102">
        <v>23</v>
      </c>
      <c r="B27" s="103" t="s">
        <v>101</v>
      </c>
      <c r="C27" s="103" t="s">
        <v>103</v>
      </c>
      <c r="D27" s="103" t="s">
        <v>105</v>
      </c>
      <c r="E27" s="104" t="s">
        <v>104</v>
      </c>
      <c r="F27" s="103"/>
      <c r="G27" s="103" t="s">
        <v>449</v>
      </c>
      <c r="H27" s="103" t="s">
        <v>450</v>
      </c>
      <c r="I27" s="103" t="s">
        <v>451</v>
      </c>
      <c r="J27" s="199">
        <v>35</v>
      </c>
      <c r="K27" s="103" t="s">
        <v>36</v>
      </c>
      <c r="L27" s="103" t="s">
        <v>670</v>
      </c>
      <c r="M27" s="103" t="s">
        <v>104</v>
      </c>
      <c r="N27" s="103" t="s">
        <v>657</v>
      </c>
    </row>
    <row r="28" spans="1:14" ht="18.75" customHeight="1" x14ac:dyDescent="0.25">
      <c r="A28" s="102">
        <v>24</v>
      </c>
      <c r="B28" s="103" t="s">
        <v>101</v>
      </c>
      <c r="C28" s="103" t="s">
        <v>103</v>
      </c>
      <c r="D28" s="103" t="s">
        <v>105</v>
      </c>
      <c r="E28" s="104" t="s">
        <v>104</v>
      </c>
      <c r="F28" s="103"/>
      <c r="G28" s="103" t="s">
        <v>453</v>
      </c>
      <c r="H28" s="103" t="s">
        <v>454</v>
      </c>
      <c r="I28" s="103" t="s">
        <v>455</v>
      </c>
      <c r="J28" s="199">
        <v>32</v>
      </c>
      <c r="K28" s="103" t="s">
        <v>480</v>
      </c>
      <c r="L28" s="103" t="s">
        <v>658</v>
      </c>
      <c r="M28" s="103" t="s">
        <v>412</v>
      </c>
      <c r="N28" s="103" t="s">
        <v>659</v>
      </c>
    </row>
    <row r="29" spans="1:14" ht="18.75" customHeight="1" x14ac:dyDescent="0.25">
      <c r="A29" s="102">
        <v>25</v>
      </c>
      <c r="B29" s="103" t="s">
        <v>101</v>
      </c>
      <c r="C29" s="103" t="s">
        <v>103</v>
      </c>
      <c r="D29" s="103" t="s">
        <v>105</v>
      </c>
      <c r="E29" s="104" t="s">
        <v>104</v>
      </c>
      <c r="F29" s="103"/>
      <c r="G29" s="103" t="s">
        <v>457</v>
      </c>
      <c r="H29" s="103" t="s">
        <v>458</v>
      </c>
      <c r="I29" s="103" t="s">
        <v>459</v>
      </c>
      <c r="J29" s="199">
        <v>28</v>
      </c>
      <c r="K29" s="103" t="s">
        <v>36</v>
      </c>
      <c r="L29" s="103" t="s">
        <v>671</v>
      </c>
      <c r="M29" s="103" t="s">
        <v>104</v>
      </c>
      <c r="N29" s="103" t="s">
        <v>657</v>
      </c>
    </row>
    <row r="30" spans="1:14" ht="4.5" customHeight="1" x14ac:dyDescent="0.25">
      <c r="A30" s="105" t="s">
        <v>672</v>
      </c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</row>
    <row r="31" spans="1:14" ht="19.5" customHeight="1" x14ac:dyDescent="0.25">
      <c r="A31" s="259" t="s">
        <v>672</v>
      </c>
      <c r="B31" s="260"/>
      <c r="C31" s="260"/>
      <c r="D31" s="260"/>
      <c r="E31" s="260"/>
      <c r="F31" s="260"/>
      <c r="G31" s="260"/>
      <c r="H31" s="260"/>
      <c r="I31" s="260"/>
      <c r="J31" s="260"/>
      <c r="K31" s="260"/>
      <c r="L31" s="260"/>
      <c r="M31" s="260"/>
      <c r="N31" s="261"/>
    </row>
    <row r="32" spans="1:14" ht="18.75" customHeight="1" x14ac:dyDescent="0.25">
      <c r="A32" s="34">
        <v>2</v>
      </c>
      <c r="B32" s="35" t="s">
        <v>107</v>
      </c>
      <c r="C32" s="35" t="s">
        <v>108</v>
      </c>
      <c r="D32" s="35" t="s">
        <v>105</v>
      </c>
      <c r="E32" s="101" t="s">
        <v>104</v>
      </c>
      <c r="F32" s="35"/>
      <c r="G32" s="35" t="s">
        <v>363</v>
      </c>
      <c r="H32" s="35" t="s">
        <v>364</v>
      </c>
      <c r="I32" s="35" t="s">
        <v>367</v>
      </c>
      <c r="J32" s="198">
        <v>232</v>
      </c>
      <c r="K32" s="35" t="s">
        <v>480</v>
      </c>
      <c r="L32" s="35" t="s">
        <v>658</v>
      </c>
      <c r="M32" s="35" t="s">
        <v>412</v>
      </c>
      <c r="N32" s="35" t="s">
        <v>659</v>
      </c>
    </row>
    <row r="33" spans="1:14" ht="18.75" customHeight="1" x14ac:dyDescent="0.25">
      <c r="A33" s="106">
        <v>3</v>
      </c>
      <c r="B33" s="107" t="s">
        <v>107</v>
      </c>
      <c r="C33" s="107" t="s">
        <v>108</v>
      </c>
      <c r="D33" s="107" t="s">
        <v>105</v>
      </c>
      <c r="E33" s="108" t="s">
        <v>104</v>
      </c>
      <c r="F33" s="107"/>
      <c r="G33" s="107" t="s">
        <v>369</v>
      </c>
      <c r="H33" s="107" t="s">
        <v>370</v>
      </c>
      <c r="I33" s="107" t="s">
        <v>372</v>
      </c>
      <c r="J33" s="200">
        <v>349</v>
      </c>
      <c r="K33" s="107" t="s">
        <v>480</v>
      </c>
      <c r="L33" s="107" t="s">
        <v>658</v>
      </c>
      <c r="M33" s="107" t="s">
        <v>412</v>
      </c>
      <c r="N33" s="107" t="s">
        <v>659</v>
      </c>
    </row>
    <row r="34" spans="1:14" ht="18.75" customHeight="1" x14ac:dyDescent="0.25">
      <c r="A34" s="106">
        <v>4</v>
      </c>
      <c r="B34" s="107" t="s">
        <v>107</v>
      </c>
      <c r="C34" s="107" t="s">
        <v>108</v>
      </c>
      <c r="D34" s="107" t="s">
        <v>105</v>
      </c>
      <c r="E34" s="108" t="s">
        <v>104</v>
      </c>
      <c r="F34" s="107"/>
      <c r="G34" s="107" t="s">
        <v>374</v>
      </c>
      <c r="H34" s="107" t="s">
        <v>375</v>
      </c>
      <c r="I34" s="107" t="s">
        <v>377</v>
      </c>
      <c r="J34" s="200">
        <v>421</v>
      </c>
      <c r="K34" s="107" t="s">
        <v>36</v>
      </c>
      <c r="L34" s="107" t="s">
        <v>660</v>
      </c>
      <c r="M34" s="107" t="s">
        <v>104</v>
      </c>
      <c r="N34" s="107" t="s">
        <v>657</v>
      </c>
    </row>
    <row r="35" spans="1:14" ht="18.75" customHeight="1" x14ac:dyDescent="0.25">
      <c r="A35" s="106">
        <v>5</v>
      </c>
      <c r="B35" s="107" t="s">
        <v>107</v>
      </c>
      <c r="C35" s="107" t="s">
        <v>108</v>
      </c>
      <c r="D35" s="107" t="s">
        <v>105</v>
      </c>
      <c r="E35" s="108" t="s">
        <v>104</v>
      </c>
      <c r="F35" s="107"/>
      <c r="G35" s="107" t="s">
        <v>379</v>
      </c>
      <c r="H35" s="107" t="s">
        <v>380</v>
      </c>
      <c r="I35" s="107" t="s">
        <v>381</v>
      </c>
      <c r="J35" s="200">
        <v>262</v>
      </c>
      <c r="K35" s="107" t="s">
        <v>480</v>
      </c>
      <c r="L35" s="107" t="s">
        <v>658</v>
      </c>
      <c r="M35" s="107" t="s">
        <v>412</v>
      </c>
      <c r="N35" s="107" t="s">
        <v>659</v>
      </c>
    </row>
    <row r="36" spans="1:14" ht="18.75" customHeight="1" x14ac:dyDescent="0.25">
      <c r="A36" s="106">
        <v>6</v>
      </c>
      <c r="B36" s="107" t="s">
        <v>107</v>
      </c>
      <c r="C36" s="107" t="s">
        <v>108</v>
      </c>
      <c r="D36" s="107" t="s">
        <v>105</v>
      </c>
      <c r="E36" s="108" t="s">
        <v>104</v>
      </c>
      <c r="F36" s="107"/>
      <c r="G36" s="107" t="s">
        <v>383</v>
      </c>
      <c r="H36" s="107" t="s">
        <v>384</v>
      </c>
      <c r="I36" s="107" t="s">
        <v>385</v>
      </c>
      <c r="J36" s="200">
        <v>123</v>
      </c>
      <c r="K36" s="107" t="s">
        <v>36</v>
      </c>
      <c r="L36" s="107" t="s">
        <v>661</v>
      </c>
      <c r="M36" s="107" t="s">
        <v>104</v>
      </c>
      <c r="N36" s="107" t="s">
        <v>657</v>
      </c>
    </row>
    <row r="37" spans="1:14" ht="18.75" customHeight="1" x14ac:dyDescent="0.25">
      <c r="A37" s="106">
        <v>7</v>
      </c>
      <c r="B37" s="107" t="s">
        <v>107</v>
      </c>
      <c r="C37" s="107" t="s">
        <v>108</v>
      </c>
      <c r="D37" s="107" t="s">
        <v>105</v>
      </c>
      <c r="E37" s="108" t="s">
        <v>104</v>
      </c>
      <c r="F37" s="107"/>
      <c r="G37" s="107" t="s">
        <v>387</v>
      </c>
      <c r="H37" s="107" t="s">
        <v>388</v>
      </c>
      <c r="I37" s="107" t="s">
        <v>389</v>
      </c>
      <c r="J37" s="200">
        <v>201</v>
      </c>
      <c r="K37" s="107" t="s">
        <v>480</v>
      </c>
      <c r="L37" s="107" t="s">
        <v>658</v>
      </c>
      <c r="M37" s="107" t="s">
        <v>412</v>
      </c>
      <c r="N37" s="107" t="s">
        <v>659</v>
      </c>
    </row>
    <row r="38" spans="1:14" ht="18.75" customHeight="1" x14ac:dyDescent="0.25">
      <c r="A38" s="106">
        <v>8</v>
      </c>
      <c r="B38" s="107" t="s">
        <v>107</v>
      </c>
      <c r="C38" s="107" t="s">
        <v>108</v>
      </c>
      <c r="D38" s="107" t="s">
        <v>105</v>
      </c>
      <c r="E38" s="108" t="s">
        <v>104</v>
      </c>
      <c r="F38" s="107"/>
      <c r="G38" s="107" t="s">
        <v>391</v>
      </c>
      <c r="H38" s="107" t="s">
        <v>392</v>
      </c>
      <c r="I38" s="107" t="s">
        <v>393</v>
      </c>
      <c r="J38" s="200">
        <v>477</v>
      </c>
      <c r="K38" s="107" t="s">
        <v>480</v>
      </c>
      <c r="L38" s="107" t="s">
        <v>658</v>
      </c>
      <c r="M38" s="107" t="s">
        <v>412</v>
      </c>
      <c r="N38" s="107" t="s">
        <v>659</v>
      </c>
    </row>
    <row r="39" spans="1:14" ht="18.75" customHeight="1" x14ac:dyDescent="0.25">
      <c r="A39" s="106">
        <v>9</v>
      </c>
      <c r="B39" s="107" t="s">
        <v>107</v>
      </c>
      <c r="C39" s="107" t="s">
        <v>108</v>
      </c>
      <c r="D39" s="107" t="s">
        <v>105</v>
      </c>
      <c r="E39" s="108" t="s">
        <v>104</v>
      </c>
      <c r="F39" s="107"/>
      <c r="G39" s="107" t="s">
        <v>395</v>
      </c>
      <c r="H39" s="107" t="s">
        <v>396</v>
      </c>
      <c r="I39" s="107" t="s">
        <v>360</v>
      </c>
      <c r="J39" s="200">
        <v>336</v>
      </c>
      <c r="K39" s="107" t="s">
        <v>36</v>
      </c>
      <c r="L39" s="107" t="s">
        <v>662</v>
      </c>
      <c r="M39" s="107" t="s">
        <v>104</v>
      </c>
      <c r="N39" s="107" t="s">
        <v>657</v>
      </c>
    </row>
    <row r="40" spans="1:14" ht="18.75" customHeight="1" x14ac:dyDescent="0.25">
      <c r="A40" s="106">
        <v>10</v>
      </c>
      <c r="B40" s="107" t="s">
        <v>107</v>
      </c>
      <c r="C40" s="107" t="s">
        <v>108</v>
      </c>
      <c r="D40" s="107" t="s">
        <v>105</v>
      </c>
      <c r="E40" s="108" t="s">
        <v>104</v>
      </c>
      <c r="F40" s="107"/>
      <c r="G40" s="107" t="s">
        <v>399</v>
      </c>
      <c r="H40" s="107" t="s">
        <v>400</v>
      </c>
      <c r="I40" s="107" t="s">
        <v>372</v>
      </c>
      <c r="J40" s="200">
        <v>294</v>
      </c>
      <c r="K40" s="107" t="s">
        <v>480</v>
      </c>
      <c r="L40" s="107" t="s">
        <v>658</v>
      </c>
      <c r="M40" s="107" t="s">
        <v>412</v>
      </c>
      <c r="N40" s="107" t="s">
        <v>659</v>
      </c>
    </row>
    <row r="41" spans="1:14" ht="18.75" customHeight="1" x14ac:dyDescent="0.25">
      <c r="A41" s="106">
        <v>11</v>
      </c>
      <c r="B41" s="107" t="s">
        <v>107</v>
      </c>
      <c r="C41" s="107" t="s">
        <v>108</v>
      </c>
      <c r="D41" s="107" t="s">
        <v>105</v>
      </c>
      <c r="E41" s="108" t="s">
        <v>104</v>
      </c>
      <c r="F41" s="107"/>
      <c r="G41" s="107" t="s">
        <v>402</v>
      </c>
      <c r="H41" s="107" t="s">
        <v>403</v>
      </c>
      <c r="I41" s="107" t="s">
        <v>404</v>
      </c>
      <c r="J41" s="200">
        <v>262</v>
      </c>
      <c r="K41" s="107" t="s">
        <v>36</v>
      </c>
      <c r="L41" s="107" t="s">
        <v>663</v>
      </c>
      <c r="M41" s="107" t="s">
        <v>104</v>
      </c>
      <c r="N41" s="107" t="s">
        <v>657</v>
      </c>
    </row>
    <row r="42" spans="1:14" ht="18.75" customHeight="1" x14ac:dyDescent="0.25">
      <c r="A42" s="106">
        <v>12</v>
      </c>
      <c r="B42" s="107" t="s">
        <v>107</v>
      </c>
      <c r="C42" s="107" t="s">
        <v>108</v>
      </c>
      <c r="D42" s="107" t="s">
        <v>105</v>
      </c>
      <c r="E42" s="108" t="s">
        <v>104</v>
      </c>
      <c r="F42" s="107"/>
      <c r="G42" s="107" t="s">
        <v>406</v>
      </c>
      <c r="H42" s="107" t="s">
        <v>407</v>
      </c>
      <c r="I42" s="107" t="s">
        <v>367</v>
      </c>
      <c r="J42" s="200">
        <v>199</v>
      </c>
      <c r="K42" s="107" t="s">
        <v>480</v>
      </c>
      <c r="L42" s="107" t="s">
        <v>658</v>
      </c>
      <c r="M42" s="107" t="s">
        <v>412</v>
      </c>
      <c r="N42" s="107" t="s">
        <v>659</v>
      </c>
    </row>
    <row r="43" spans="1:14" ht="18.75" customHeight="1" x14ac:dyDescent="0.25">
      <c r="A43" s="106">
        <v>13</v>
      </c>
      <c r="B43" s="107" t="s">
        <v>107</v>
      </c>
      <c r="C43" s="107" t="s">
        <v>108</v>
      </c>
      <c r="D43" s="107" t="s">
        <v>105</v>
      </c>
      <c r="E43" s="108" t="s">
        <v>104</v>
      </c>
      <c r="F43" s="107"/>
      <c r="G43" s="107" t="s">
        <v>409</v>
      </c>
      <c r="H43" s="107" t="s">
        <v>410</v>
      </c>
      <c r="I43" s="107" t="s">
        <v>360</v>
      </c>
      <c r="J43" s="200">
        <v>230</v>
      </c>
      <c r="K43" s="107" t="s">
        <v>36</v>
      </c>
      <c r="L43" s="107" t="s">
        <v>664</v>
      </c>
      <c r="M43" s="107" t="s">
        <v>104</v>
      </c>
      <c r="N43" s="107" t="s">
        <v>657</v>
      </c>
    </row>
    <row r="44" spans="1:14" ht="18.75" customHeight="1" x14ac:dyDescent="0.25">
      <c r="A44" s="106">
        <v>14</v>
      </c>
      <c r="B44" s="107" t="s">
        <v>107</v>
      </c>
      <c r="C44" s="107" t="s">
        <v>108</v>
      </c>
      <c r="D44" s="107" t="s">
        <v>105</v>
      </c>
      <c r="E44" s="108" t="s">
        <v>104</v>
      </c>
      <c r="F44" s="107"/>
      <c r="G44" s="107" t="s">
        <v>415</v>
      </c>
      <c r="H44" s="107" t="s">
        <v>416</v>
      </c>
      <c r="I44" s="107" t="s">
        <v>385</v>
      </c>
      <c r="J44" s="200">
        <v>292</v>
      </c>
      <c r="K44" s="107" t="s">
        <v>36</v>
      </c>
      <c r="L44" s="107" t="s">
        <v>665</v>
      </c>
      <c r="M44" s="107" t="s">
        <v>104</v>
      </c>
      <c r="N44" s="107" t="s">
        <v>657</v>
      </c>
    </row>
    <row r="45" spans="1:14" ht="18.75" customHeight="1" x14ac:dyDescent="0.25">
      <c r="A45" s="106">
        <v>15</v>
      </c>
      <c r="B45" s="107" t="s">
        <v>107</v>
      </c>
      <c r="C45" s="107" t="s">
        <v>108</v>
      </c>
      <c r="D45" s="107" t="s">
        <v>105</v>
      </c>
      <c r="E45" s="108" t="s">
        <v>104</v>
      </c>
      <c r="F45" s="107"/>
      <c r="G45" s="107" t="s">
        <v>418</v>
      </c>
      <c r="H45" s="107" t="s">
        <v>419</v>
      </c>
      <c r="I45" s="107" t="s">
        <v>421</v>
      </c>
      <c r="J45" s="200">
        <v>172</v>
      </c>
      <c r="K45" s="107" t="s">
        <v>480</v>
      </c>
      <c r="L45" s="107" t="s">
        <v>658</v>
      </c>
      <c r="M45" s="107" t="s">
        <v>412</v>
      </c>
      <c r="N45" s="107" t="s">
        <v>659</v>
      </c>
    </row>
    <row r="46" spans="1:14" ht="18.75" customHeight="1" x14ac:dyDescent="0.25">
      <c r="A46" s="106">
        <v>16</v>
      </c>
      <c r="B46" s="107" t="s">
        <v>107</v>
      </c>
      <c r="C46" s="107" t="s">
        <v>108</v>
      </c>
      <c r="D46" s="107" t="s">
        <v>105</v>
      </c>
      <c r="E46" s="108" t="s">
        <v>104</v>
      </c>
      <c r="F46" s="107"/>
      <c r="G46" s="107" t="s">
        <v>423</v>
      </c>
      <c r="H46" s="107" t="s">
        <v>424</v>
      </c>
      <c r="I46" s="107" t="s">
        <v>425</v>
      </c>
      <c r="J46" s="200">
        <v>167</v>
      </c>
      <c r="K46" s="107" t="s">
        <v>36</v>
      </c>
      <c r="L46" s="107" t="s">
        <v>666</v>
      </c>
      <c r="M46" s="107" t="s">
        <v>104</v>
      </c>
      <c r="N46" s="107" t="s">
        <v>657</v>
      </c>
    </row>
    <row r="47" spans="1:14" ht="18.75" customHeight="1" x14ac:dyDescent="0.25">
      <c r="A47" s="106">
        <v>17</v>
      </c>
      <c r="B47" s="107" t="s">
        <v>107</v>
      </c>
      <c r="C47" s="107" t="s">
        <v>108</v>
      </c>
      <c r="D47" s="107" t="s">
        <v>105</v>
      </c>
      <c r="E47" s="108" t="s">
        <v>104</v>
      </c>
      <c r="F47" s="107"/>
      <c r="G47" s="107" t="s">
        <v>427</v>
      </c>
      <c r="H47" s="107" t="s">
        <v>428</v>
      </c>
      <c r="I47" s="107" t="s">
        <v>429</v>
      </c>
      <c r="J47" s="200">
        <v>314</v>
      </c>
      <c r="K47" s="107" t="s">
        <v>480</v>
      </c>
      <c r="L47" s="107" t="s">
        <v>658</v>
      </c>
      <c r="M47" s="107" t="s">
        <v>412</v>
      </c>
      <c r="N47" s="107" t="s">
        <v>659</v>
      </c>
    </row>
    <row r="48" spans="1:14" ht="18.75" customHeight="1" x14ac:dyDescent="0.25">
      <c r="A48" s="106">
        <v>18</v>
      </c>
      <c r="B48" s="107" t="s">
        <v>107</v>
      </c>
      <c r="C48" s="107" t="s">
        <v>108</v>
      </c>
      <c r="D48" s="107" t="s">
        <v>105</v>
      </c>
      <c r="E48" s="108" t="s">
        <v>104</v>
      </c>
      <c r="F48" s="107"/>
      <c r="G48" s="107" t="s">
        <v>431</v>
      </c>
      <c r="H48" s="107" t="s">
        <v>432</v>
      </c>
      <c r="I48" s="107" t="s">
        <v>360</v>
      </c>
      <c r="J48" s="200">
        <v>169</v>
      </c>
      <c r="K48" s="107" t="s">
        <v>36</v>
      </c>
      <c r="L48" s="107" t="s">
        <v>667</v>
      </c>
      <c r="M48" s="107" t="s">
        <v>104</v>
      </c>
      <c r="N48" s="107" t="s">
        <v>657</v>
      </c>
    </row>
    <row r="49" spans="1:14" ht="18.75" customHeight="1" x14ac:dyDescent="0.25">
      <c r="A49" s="106">
        <v>19</v>
      </c>
      <c r="B49" s="107" t="s">
        <v>107</v>
      </c>
      <c r="C49" s="107" t="s">
        <v>108</v>
      </c>
      <c r="D49" s="107" t="s">
        <v>105</v>
      </c>
      <c r="E49" s="108" t="s">
        <v>104</v>
      </c>
      <c r="F49" s="107"/>
      <c r="G49" s="107" t="s">
        <v>434</v>
      </c>
      <c r="H49" s="107" t="s">
        <v>435</v>
      </c>
      <c r="I49" s="107" t="s">
        <v>436</v>
      </c>
      <c r="J49" s="200">
        <v>303</v>
      </c>
      <c r="K49" s="107" t="s">
        <v>480</v>
      </c>
      <c r="L49" s="107" t="s">
        <v>658</v>
      </c>
      <c r="M49" s="107" t="s">
        <v>412</v>
      </c>
      <c r="N49" s="107" t="s">
        <v>659</v>
      </c>
    </row>
    <row r="50" spans="1:14" ht="18.75" customHeight="1" x14ac:dyDescent="0.25">
      <c r="A50" s="106">
        <v>20</v>
      </c>
      <c r="B50" s="107" t="s">
        <v>107</v>
      </c>
      <c r="C50" s="107" t="s">
        <v>108</v>
      </c>
      <c r="D50" s="107" t="s">
        <v>105</v>
      </c>
      <c r="E50" s="108" t="s">
        <v>104</v>
      </c>
      <c r="F50" s="107"/>
      <c r="G50" s="107" t="s">
        <v>438</v>
      </c>
      <c r="H50" s="107" t="s">
        <v>439</v>
      </c>
      <c r="I50" s="107" t="s">
        <v>440</v>
      </c>
      <c r="J50" s="200">
        <v>296</v>
      </c>
      <c r="K50" s="107" t="s">
        <v>36</v>
      </c>
      <c r="L50" s="107" t="s">
        <v>668</v>
      </c>
      <c r="M50" s="107" t="s">
        <v>104</v>
      </c>
      <c r="N50" s="107" t="s">
        <v>657</v>
      </c>
    </row>
    <row r="51" spans="1:14" ht="18.75" customHeight="1" x14ac:dyDescent="0.25">
      <c r="A51" s="106">
        <v>21</v>
      </c>
      <c r="B51" s="107" t="s">
        <v>107</v>
      </c>
      <c r="C51" s="107" t="s">
        <v>108</v>
      </c>
      <c r="D51" s="107" t="s">
        <v>105</v>
      </c>
      <c r="E51" s="108" t="s">
        <v>104</v>
      </c>
      <c r="F51" s="107"/>
      <c r="G51" s="107" t="s">
        <v>442</v>
      </c>
      <c r="H51" s="107" t="s">
        <v>443</v>
      </c>
      <c r="I51" s="107" t="s">
        <v>381</v>
      </c>
      <c r="J51" s="200">
        <v>429</v>
      </c>
      <c r="K51" s="107" t="s">
        <v>480</v>
      </c>
      <c r="L51" s="107" t="s">
        <v>658</v>
      </c>
      <c r="M51" s="107" t="s">
        <v>412</v>
      </c>
      <c r="N51" s="107" t="s">
        <v>659</v>
      </c>
    </row>
    <row r="52" spans="1:14" ht="18.75" customHeight="1" x14ac:dyDescent="0.25">
      <c r="A52" s="106">
        <v>22</v>
      </c>
      <c r="B52" s="107" t="s">
        <v>107</v>
      </c>
      <c r="C52" s="107" t="s">
        <v>108</v>
      </c>
      <c r="D52" s="107" t="s">
        <v>105</v>
      </c>
      <c r="E52" s="108" t="s">
        <v>104</v>
      </c>
      <c r="F52" s="107"/>
      <c r="G52" s="107" t="s">
        <v>445</v>
      </c>
      <c r="H52" s="107" t="s">
        <v>446</v>
      </c>
      <c r="I52" s="107" t="s">
        <v>372</v>
      </c>
      <c r="J52" s="200">
        <v>255</v>
      </c>
      <c r="K52" s="107" t="s">
        <v>36</v>
      </c>
      <c r="L52" s="107" t="s">
        <v>669</v>
      </c>
      <c r="M52" s="107" t="s">
        <v>104</v>
      </c>
      <c r="N52" s="107" t="s">
        <v>657</v>
      </c>
    </row>
    <row r="53" spans="1:14" ht="18.75" customHeight="1" x14ac:dyDescent="0.25">
      <c r="A53" s="106">
        <v>23</v>
      </c>
      <c r="B53" s="107" t="s">
        <v>107</v>
      </c>
      <c r="C53" s="107" t="s">
        <v>108</v>
      </c>
      <c r="D53" s="107" t="s">
        <v>105</v>
      </c>
      <c r="E53" s="108" t="s">
        <v>104</v>
      </c>
      <c r="F53" s="107"/>
      <c r="G53" s="107" t="s">
        <v>449</v>
      </c>
      <c r="H53" s="107" t="s">
        <v>450</v>
      </c>
      <c r="I53" s="107" t="s">
        <v>451</v>
      </c>
      <c r="J53" s="200">
        <v>142</v>
      </c>
      <c r="K53" s="107" t="s">
        <v>36</v>
      </c>
      <c r="L53" s="107" t="s">
        <v>670</v>
      </c>
      <c r="M53" s="107" t="s">
        <v>104</v>
      </c>
      <c r="N53" s="107" t="s">
        <v>657</v>
      </c>
    </row>
    <row r="54" spans="1:14" ht="18.75" customHeight="1" x14ac:dyDescent="0.25">
      <c r="A54" s="106">
        <v>24</v>
      </c>
      <c r="B54" s="107" t="s">
        <v>107</v>
      </c>
      <c r="C54" s="107" t="s">
        <v>108</v>
      </c>
      <c r="D54" s="107" t="s">
        <v>105</v>
      </c>
      <c r="E54" s="108" t="s">
        <v>104</v>
      </c>
      <c r="F54" s="107"/>
      <c r="G54" s="107" t="s">
        <v>453</v>
      </c>
      <c r="H54" s="107" t="s">
        <v>454</v>
      </c>
      <c r="I54" s="107" t="s">
        <v>455</v>
      </c>
      <c r="J54" s="200">
        <v>355</v>
      </c>
      <c r="K54" s="107" t="s">
        <v>480</v>
      </c>
      <c r="L54" s="107" t="s">
        <v>658</v>
      </c>
      <c r="M54" s="107" t="s">
        <v>412</v>
      </c>
      <c r="N54" s="107" t="s">
        <v>659</v>
      </c>
    </row>
    <row r="55" spans="1:14" ht="18.75" customHeight="1" x14ac:dyDescent="0.25">
      <c r="A55" s="106">
        <v>25</v>
      </c>
      <c r="B55" s="107" t="s">
        <v>107</v>
      </c>
      <c r="C55" s="107" t="s">
        <v>108</v>
      </c>
      <c r="D55" s="107" t="s">
        <v>105</v>
      </c>
      <c r="E55" s="108" t="s">
        <v>104</v>
      </c>
      <c r="F55" s="107"/>
      <c r="G55" s="107" t="s">
        <v>457</v>
      </c>
      <c r="H55" s="107" t="s">
        <v>458</v>
      </c>
      <c r="I55" s="107" t="s">
        <v>459</v>
      </c>
      <c r="J55" s="200">
        <v>394</v>
      </c>
      <c r="K55" s="107" t="s">
        <v>36</v>
      </c>
      <c r="L55" s="107" t="s">
        <v>671</v>
      </c>
      <c r="M55" s="107" t="s">
        <v>104</v>
      </c>
      <c r="N55" s="107" t="s">
        <v>657</v>
      </c>
    </row>
    <row r="56" spans="1:14" ht="18.75" customHeight="1" x14ac:dyDescent="0.25">
      <c r="A56" s="106" t="s">
        <v>673</v>
      </c>
      <c r="B56" s="107" t="s">
        <v>107</v>
      </c>
      <c r="C56" s="107" t="s">
        <v>108</v>
      </c>
      <c r="D56" s="107" t="s">
        <v>105</v>
      </c>
      <c r="E56" s="108" t="s">
        <v>104</v>
      </c>
      <c r="F56" s="107"/>
      <c r="G56" s="107" t="s">
        <v>674</v>
      </c>
      <c r="H56" s="107" t="s">
        <v>458</v>
      </c>
      <c r="I56" s="107" t="s">
        <v>377</v>
      </c>
      <c r="J56" s="200">
        <v>183</v>
      </c>
      <c r="K56" s="107"/>
      <c r="L56" s="107"/>
      <c r="M56" s="107"/>
      <c r="N56" s="107"/>
    </row>
    <row r="57" spans="1:14" ht="4.5" customHeight="1" x14ac:dyDescent="0.25">
      <c r="A57" s="105">
        <v>1</v>
      </c>
      <c r="B57" s="105" t="s">
        <v>109</v>
      </c>
      <c r="C57" s="105" t="s">
        <v>110</v>
      </c>
      <c r="D57" s="105" t="s">
        <v>111</v>
      </c>
      <c r="E57" s="105" t="s">
        <v>104</v>
      </c>
      <c r="F57" s="105"/>
      <c r="G57" s="105" t="s">
        <v>353</v>
      </c>
      <c r="H57" s="105" t="s">
        <v>354</v>
      </c>
      <c r="I57" s="105" t="s">
        <v>360</v>
      </c>
      <c r="J57" s="201">
        <v>22</v>
      </c>
      <c r="K57" s="105" t="s">
        <v>36</v>
      </c>
      <c r="L57" s="105" t="s">
        <v>656</v>
      </c>
      <c r="M57" s="105" t="s">
        <v>104</v>
      </c>
      <c r="N57" s="105" t="s">
        <v>657</v>
      </c>
    </row>
    <row r="58" spans="1:14" ht="19.5" customHeight="1" x14ac:dyDescent="0.25">
      <c r="A58" s="259" t="s">
        <v>673</v>
      </c>
      <c r="B58" s="260"/>
      <c r="C58" s="260"/>
      <c r="D58" s="260"/>
      <c r="E58" s="260"/>
      <c r="F58" s="260"/>
      <c r="G58" s="260"/>
      <c r="H58" s="260"/>
      <c r="I58" s="260"/>
      <c r="J58" s="260"/>
      <c r="K58" s="260"/>
      <c r="L58" s="260"/>
      <c r="M58" s="260"/>
      <c r="N58" s="261"/>
    </row>
    <row r="59" spans="1:14" ht="18.75" customHeight="1" x14ac:dyDescent="0.25">
      <c r="A59" s="34">
        <v>3</v>
      </c>
      <c r="B59" s="35" t="s">
        <v>109</v>
      </c>
      <c r="C59" s="35" t="s">
        <v>110</v>
      </c>
      <c r="D59" s="35" t="s">
        <v>111</v>
      </c>
      <c r="E59" s="101" t="s">
        <v>104</v>
      </c>
      <c r="F59" s="35"/>
      <c r="G59" s="35" t="s">
        <v>369</v>
      </c>
      <c r="H59" s="35" t="s">
        <v>370</v>
      </c>
      <c r="I59" s="35" t="s">
        <v>372</v>
      </c>
      <c r="J59" s="198">
        <v>12</v>
      </c>
      <c r="K59" s="35" t="s">
        <v>480</v>
      </c>
      <c r="L59" s="35" t="s">
        <v>658</v>
      </c>
      <c r="M59" s="35" t="s">
        <v>412</v>
      </c>
      <c r="N59" s="35" t="s">
        <v>659</v>
      </c>
    </row>
    <row r="60" spans="1:14" ht="18.75" customHeight="1" x14ac:dyDescent="0.25">
      <c r="A60" s="102">
        <v>4</v>
      </c>
      <c r="B60" s="103" t="s">
        <v>109</v>
      </c>
      <c r="C60" s="103" t="s">
        <v>110</v>
      </c>
      <c r="D60" s="103" t="s">
        <v>111</v>
      </c>
      <c r="E60" s="104" t="s">
        <v>104</v>
      </c>
      <c r="F60" s="103"/>
      <c r="G60" s="103" t="s">
        <v>374</v>
      </c>
      <c r="H60" s="103" t="s">
        <v>375</v>
      </c>
      <c r="I60" s="103" t="s">
        <v>377</v>
      </c>
      <c r="J60" s="199">
        <v>19</v>
      </c>
      <c r="K60" s="103" t="s">
        <v>36</v>
      </c>
      <c r="L60" s="103" t="s">
        <v>660</v>
      </c>
      <c r="M60" s="103" t="s">
        <v>104</v>
      </c>
      <c r="N60" s="103" t="s">
        <v>657</v>
      </c>
    </row>
    <row r="61" spans="1:14" ht="18.75" customHeight="1" x14ac:dyDescent="0.25">
      <c r="A61" s="102">
        <v>5</v>
      </c>
      <c r="B61" s="103" t="s">
        <v>109</v>
      </c>
      <c r="C61" s="103" t="s">
        <v>110</v>
      </c>
      <c r="D61" s="103" t="s">
        <v>111</v>
      </c>
      <c r="E61" s="104" t="s">
        <v>104</v>
      </c>
      <c r="F61" s="103"/>
      <c r="G61" s="103" t="s">
        <v>379</v>
      </c>
      <c r="H61" s="103" t="s">
        <v>380</v>
      </c>
      <c r="I61" s="103" t="s">
        <v>381</v>
      </c>
      <c r="J61" s="199">
        <v>21</v>
      </c>
      <c r="K61" s="103" t="s">
        <v>480</v>
      </c>
      <c r="L61" s="103" t="s">
        <v>658</v>
      </c>
      <c r="M61" s="103" t="s">
        <v>412</v>
      </c>
      <c r="N61" s="103" t="s">
        <v>659</v>
      </c>
    </row>
    <row r="62" spans="1:14" ht="18.75" customHeight="1" x14ac:dyDescent="0.25">
      <c r="A62" s="102">
        <v>6</v>
      </c>
      <c r="B62" s="103" t="s">
        <v>109</v>
      </c>
      <c r="C62" s="103" t="s">
        <v>110</v>
      </c>
      <c r="D62" s="103" t="s">
        <v>111</v>
      </c>
      <c r="E62" s="104" t="s">
        <v>104</v>
      </c>
      <c r="F62" s="103"/>
      <c r="G62" s="103" t="s">
        <v>383</v>
      </c>
      <c r="H62" s="103" t="s">
        <v>384</v>
      </c>
      <c r="I62" s="103" t="s">
        <v>385</v>
      </c>
      <c r="J62" s="199">
        <v>16</v>
      </c>
      <c r="K62" s="103" t="s">
        <v>36</v>
      </c>
      <c r="L62" s="103" t="s">
        <v>661</v>
      </c>
      <c r="M62" s="103" t="s">
        <v>104</v>
      </c>
      <c r="N62" s="103" t="s">
        <v>657</v>
      </c>
    </row>
    <row r="63" spans="1:14" ht="18.75" customHeight="1" x14ac:dyDescent="0.25">
      <c r="A63" s="102">
        <v>7</v>
      </c>
      <c r="B63" s="103" t="s">
        <v>109</v>
      </c>
      <c r="C63" s="103" t="s">
        <v>110</v>
      </c>
      <c r="D63" s="103" t="s">
        <v>111</v>
      </c>
      <c r="E63" s="104" t="s">
        <v>104</v>
      </c>
      <c r="F63" s="103"/>
      <c r="G63" s="103" t="s">
        <v>387</v>
      </c>
      <c r="H63" s="103" t="s">
        <v>388</v>
      </c>
      <c r="I63" s="103" t="s">
        <v>389</v>
      </c>
      <c r="J63" s="199">
        <v>12</v>
      </c>
      <c r="K63" s="103" t="s">
        <v>480</v>
      </c>
      <c r="L63" s="103" t="s">
        <v>658</v>
      </c>
      <c r="M63" s="103" t="s">
        <v>412</v>
      </c>
      <c r="N63" s="103" t="s">
        <v>659</v>
      </c>
    </row>
    <row r="64" spans="1:14" ht="18.75" customHeight="1" x14ac:dyDescent="0.25">
      <c r="A64" s="102">
        <v>8</v>
      </c>
      <c r="B64" s="103" t="s">
        <v>109</v>
      </c>
      <c r="C64" s="103" t="s">
        <v>110</v>
      </c>
      <c r="D64" s="103" t="s">
        <v>111</v>
      </c>
      <c r="E64" s="104" t="s">
        <v>104</v>
      </c>
      <c r="F64" s="103"/>
      <c r="G64" s="103" t="s">
        <v>391</v>
      </c>
      <c r="H64" s="103" t="s">
        <v>392</v>
      </c>
      <c r="I64" s="103" t="s">
        <v>393</v>
      </c>
      <c r="J64" s="199">
        <v>11</v>
      </c>
      <c r="K64" s="103" t="s">
        <v>480</v>
      </c>
      <c r="L64" s="103" t="s">
        <v>658</v>
      </c>
      <c r="M64" s="103" t="s">
        <v>412</v>
      </c>
      <c r="N64" s="103" t="s">
        <v>659</v>
      </c>
    </row>
    <row r="65" spans="1:14" ht="18.75" customHeight="1" x14ac:dyDescent="0.25">
      <c r="A65" s="102">
        <v>9</v>
      </c>
      <c r="B65" s="103" t="s">
        <v>109</v>
      </c>
      <c r="C65" s="103" t="s">
        <v>110</v>
      </c>
      <c r="D65" s="103" t="s">
        <v>111</v>
      </c>
      <c r="E65" s="104" t="s">
        <v>104</v>
      </c>
      <c r="F65" s="103"/>
      <c r="G65" s="103" t="s">
        <v>395</v>
      </c>
      <c r="H65" s="103" t="s">
        <v>396</v>
      </c>
      <c r="I65" s="103" t="s">
        <v>360</v>
      </c>
      <c r="J65" s="199">
        <v>17</v>
      </c>
      <c r="K65" s="103" t="s">
        <v>36</v>
      </c>
      <c r="L65" s="103" t="s">
        <v>662</v>
      </c>
      <c r="M65" s="103" t="s">
        <v>104</v>
      </c>
      <c r="N65" s="103" t="s">
        <v>657</v>
      </c>
    </row>
    <row r="66" spans="1:14" ht="18.75" customHeight="1" x14ac:dyDescent="0.25">
      <c r="A66" s="102">
        <v>10</v>
      </c>
      <c r="B66" s="103" t="s">
        <v>109</v>
      </c>
      <c r="C66" s="103" t="s">
        <v>110</v>
      </c>
      <c r="D66" s="103" t="s">
        <v>111</v>
      </c>
      <c r="E66" s="104" t="s">
        <v>104</v>
      </c>
      <c r="F66" s="103"/>
      <c r="G66" s="103" t="s">
        <v>399</v>
      </c>
      <c r="H66" s="103" t="s">
        <v>400</v>
      </c>
      <c r="I66" s="103" t="s">
        <v>372</v>
      </c>
      <c r="J66" s="199">
        <v>19</v>
      </c>
      <c r="K66" s="103" t="s">
        <v>480</v>
      </c>
      <c r="L66" s="103" t="s">
        <v>658</v>
      </c>
      <c r="M66" s="103" t="s">
        <v>412</v>
      </c>
      <c r="N66" s="103" t="s">
        <v>659</v>
      </c>
    </row>
    <row r="67" spans="1:14" ht="18.75" customHeight="1" x14ac:dyDescent="0.25">
      <c r="A67" s="102">
        <v>11</v>
      </c>
      <c r="B67" s="103" t="s">
        <v>109</v>
      </c>
      <c r="C67" s="103" t="s">
        <v>110</v>
      </c>
      <c r="D67" s="103" t="s">
        <v>111</v>
      </c>
      <c r="E67" s="104" t="s">
        <v>104</v>
      </c>
      <c r="F67" s="103"/>
      <c r="G67" s="103" t="s">
        <v>402</v>
      </c>
      <c r="H67" s="103" t="s">
        <v>403</v>
      </c>
      <c r="I67" s="103" t="s">
        <v>404</v>
      </c>
      <c r="J67" s="199">
        <v>12</v>
      </c>
      <c r="K67" s="103" t="s">
        <v>36</v>
      </c>
      <c r="L67" s="103" t="s">
        <v>663</v>
      </c>
      <c r="M67" s="103" t="s">
        <v>104</v>
      </c>
      <c r="N67" s="103" t="s">
        <v>657</v>
      </c>
    </row>
    <row r="68" spans="1:14" ht="18.75" customHeight="1" x14ac:dyDescent="0.25">
      <c r="A68" s="102">
        <v>12</v>
      </c>
      <c r="B68" s="103" t="s">
        <v>109</v>
      </c>
      <c r="C68" s="103" t="s">
        <v>110</v>
      </c>
      <c r="D68" s="103" t="s">
        <v>111</v>
      </c>
      <c r="E68" s="104" t="s">
        <v>104</v>
      </c>
      <c r="F68" s="103"/>
      <c r="G68" s="103" t="s">
        <v>406</v>
      </c>
      <c r="H68" s="103" t="s">
        <v>407</v>
      </c>
      <c r="I68" s="103" t="s">
        <v>367</v>
      </c>
      <c r="J68" s="199">
        <v>17</v>
      </c>
      <c r="K68" s="103" t="s">
        <v>480</v>
      </c>
      <c r="L68" s="103" t="s">
        <v>658</v>
      </c>
      <c r="M68" s="103" t="s">
        <v>412</v>
      </c>
      <c r="N68" s="103" t="s">
        <v>659</v>
      </c>
    </row>
    <row r="69" spans="1:14" ht="18.75" customHeight="1" x14ac:dyDescent="0.25">
      <c r="A69" s="102">
        <v>13</v>
      </c>
      <c r="B69" s="103" t="s">
        <v>109</v>
      </c>
      <c r="C69" s="103" t="s">
        <v>110</v>
      </c>
      <c r="D69" s="103" t="s">
        <v>111</v>
      </c>
      <c r="E69" s="104" t="s">
        <v>104</v>
      </c>
      <c r="F69" s="103"/>
      <c r="G69" s="103" t="s">
        <v>409</v>
      </c>
      <c r="H69" s="103" t="s">
        <v>410</v>
      </c>
      <c r="I69" s="103" t="s">
        <v>360</v>
      </c>
      <c r="J69" s="199">
        <v>13</v>
      </c>
      <c r="K69" s="103" t="s">
        <v>36</v>
      </c>
      <c r="L69" s="103" t="s">
        <v>664</v>
      </c>
      <c r="M69" s="103" t="s">
        <v>104</v>
      </c>
      <c r="N69" s="103" t="s">
        <v>657</v>
      </c>
    </row>
    <row r="70" spans="1:14" ht="18.75" customHeight="1" x14ac:dyDescent="0.25">
      <c r="A70" s="102">
        <v>14</v>
      </c>
      <c r="B70" s="103" t="s">
        <v>109</v>
      </c>
      <c r="C70" s="103" t="s">
        <v>110</v>
      </c>
      <c r="D70" s="103" t="s">
        <v>111</v>
      </c>
      <c r="E70" s="104" t="s">
        <v>104</v>
      </c>
      <c r="F70" s="103"/>
      <c r="G70" s="103" t="s">
        <v>415</v>
      </c>
      <c r="H70" s="103" t="s">
        <v>416</v>
      </c>
      <c r="I70" s="103" t="s">
        <v>385</v>
      </c>
      <c r="J70" s="199">
        <v>22</v>
      </c>
      <c r="K70" s="103" t="s">
        <v>36</v>
      </c>
      <c r="L70" s="103" t="s">
        <v>665</v>
      </c>
      <c r="M70" s="103" t="s">
        <v>104</v>
      </c>
      <c r="N70" s="103" t="s">
        <v>657</v>
      </c>
    </row>
    <row r="71" spans="1:14" ht="18.75" customHeight="1" x14ac:dyDescent="0.25">
      <c r="A71" s="102">
        <v>15</v>
      </c>
      <c r="B71" s="103" t="s">
        <v>109</v>
      </c>
      <c r="C71" s="103" t="s">
        <v>110</v>
      </c>
      <c r="D71" s="103" t="s">
        <v>111</v>
      </c>
      <c r="E71" s="104" t="s">
        <v>104</v>
      </c>
      <c r="F71" s="103"/>
      <c r="G71" s="103" t="s">
        <v>418</v>
      </c>
      <c r="H71" s="103" t="s">
        <v>419</v>
      </c>
      <c r="I71" s="103" t="s">
        <v>421</v>
      </c>
      <c r="J71" s="199">
        <v>18</v>
      </c>
      <c r="K71" s="103" t="s">
        <v>480</v>
      </c>
      <c r="L71" s="103" t="s">
        <v>658</v>
      </c>
      <c r="M71" s="103" t="s">
        <v>412</v>
      </c>
      <c r="N71" s="103" t="s">
        <v>659</v>
      </c>
    </row>
    <row r="72" spans="1:14" ht="18.75" customHeight="1" x14ac:dyDescent="0.25">
      <c r="A72" s="102">
        <v>16</v>
      </c>
      <c r="B72" s="103" t="s">
        <v>109</v>
      </c>
      <c r="C72" s="103" t="s">
        <v>110</v>
      </c>
      <c r="D72" s="103" t="s">
        <v>111</v>
      </c>
      <c r="E72" s="104" t="s">
        <v>104</v>
      </c>
      <c r="F72" s="103"/>
      <c r="G72" s="103" t="s">
        <v>423</v>
      </c>
      <c r="H72" s="103" t="s">
        <v>424</v>
      </c>
      <c r="I72" s="103" t="s">
        <v>425</v>
      </c>
      <c r="J72" s="199">
        <v>24</v>
      </c>
      <c r="K72" s="103" t="s">
        <v>36</v>
      </c>
      <c r="L72" s="103" t="s">
        <v>666</v>
      </c>
      <c r="M72" s="103" t="s">
        <v>104</v>
      </c>
      <c r="N72" s="103" t="s">
        <v>657</v>
      </c>
    </row>
    <row r="73" spans="1:14" ht="18.75" customHeight="1" x14ac:dyDescent="0.25">
      <c r="A73" s="102">
        <v>17</v>
      </c>
      <c r="B73" s="103" t="s">
        <v>109</v>
      </c>
      <c r="C73" s="103" t="s">
        <v>110</v>
      </c>
      <c r="D73" s="103" t="s">
        <v>111</v>
      </c>
      <c r="E73" s="104" t="s">
        <v>104</v>
      </c>
      <c r="F73" s="103"/>
      <c r="G73" s="103" t="s">
        <v>427</v>
      </c>
      <c r="H73" s="103" t="s">
        <v>428</v>
      </c>
      <c r="I73" s="103" t="s">
        <v>429</v>
      </c>
      <c r="J73" s="199">
        <v>21</v>
      </c>
      <c r="K73" s="103" t="s">
        <v>480</v>
      </c>
      <c r="L73" s="103" t="s">
        <v>658</v>
      </c>
      <c r="M73" s="103" t="s">
        <v>412</v>
      </c>
      <c r="N73" s="103" t="s">
        <v>659</v>
      </c>
    </row>
    <row r="74" spans="1:14" ht="18.75" customHeight="1" x14ac:dyDescent="0.25">
      <c r="A74" s="102">
        <v>18</v>
      </c>
      <c r="B74" s="103" t="s">
        <v>109</v>
      </c>
      <c r="C74" s="103" t="s">
        <v>110</v>
      </c>
      <c r="D74" s="103" t="s">
        <v>111</v>
      </c>
      <c r="E74" s="104" t="s">
        <v>104</v>
      </c>
      <c r="F74" s="103"/>
      <c r="G74" s="103" t="s">
        <v>431</v>
      </c>
      <c r="H74" s="103" t="s">
        <v>432</v>
      </c>
      <c r="I74" s="103" t="s">
        <v>360</v>
      </c>
      <c r="J74" s="199">
        <v>15</v>
      </c>
      <c r="K74" s="103" t="s">
        <v>36</v>
      </c>
      <c r="L74" s="103" t="s">
        <v>667</v>
      </c>
      <c r="M74" s="103" t="s">
        <v>104</v>
      </c>
      <c r="N74" s="103" t="s">
        <v>657</v>
      </c>
    </row>
    <row r="75" spans="1:14" ht="18.75" customHeight="1" x14ac:dyDescent="0.25">
      <c r="A75" s="102">
        <v>19</v>
      </c>
      <c r="B75" s="103" t="s">
        <v>109</v>
      </c>
      <c r="C75" s="103" t="s">
        <v>110</v>
      </c>
      <c r="D75" s="103" t="s">
        <v>111</v>
      </c>
      <c r="E75" s="104" t="s">
        <v>104</v>
      </c>
      <c r="F75" s="103"/>
      <c r="G75" s="103" t="s">
        <v>434</v>
      </c>
      <c r="H75" s="103" t="s">
        <v>435</v>
      </c>
      <c r="I75" s="103" t="s">
        <v>436</v>
      </c>
      <c r="J75" s="199">
        <v>21</v>
      </c>
      <c r="K75" s="103" t="s">
        <v>480</v>
      </c>
      <c r="L75" s="103" t="s">
        <v>658</v>
      </c>
      <c r="M75" s="103" t="s">
        <v>412</v>
      </c>
      <c r="N75" s="103" t="s">
        <v>659</v>
      </c>
    </row>
    <row r="76" spans="1:14" ht="18.75" customHeight="1" x14ac:dyDescent="0.25">
      <c r="A76" s="102">
        <v>20</v>
      </c>
      <c r="B76" s="103" t="s">
        <v>109</v>
      </c>
      <c r="C76" s="103" t="s">
        <v>110</v>
      </c>
      <c r="D76" s="103" t="s">
        <v>111</v>
      </c>
      <c r="E76" s="104" t="s">
        <v>104</v>
      </c>
      <c r="F76" s="103"/>
      <c r="G76" s="103" t="s">
        <v>438</v>
      </c>
      <c r="H76" s="103" t="s">
        <v>439</v>
      </c>
      <c r="I76" s="103" t="s">
        <v>440</v>
      </c>
      <c r="J76" s="199">
        <v>21</v>
      </c>
      <c r="K76" s="103" t="s">
        <v>36</v>
      </c>
      <c r="L76" s="103" t="s">
        <v>668</v>
      </c>
      <c r="M76" s="103" t="s">
        <v>104</v>
      </c>
      <c r="N76" s="103" t="s">
        <v>657</v>
      </c>
    </row>
    <row r="77" spans="1:14" ht="18.75" customHeight="1" x14ac:dyDescent="0.25">
      <c r="A77" s="102">
        <v>21</v>
      </c>
      <c r="B77" s="103" t="s">
        <v>109</v>
      </c>
      <c r="C77" s="103" t="s">
        <v>110</v>
      </c>
      <c r="D77" s="103" t="s">
        <v>111</v>
      </c>
      <c r="E77" s="104" t="s">
        <v>104</v>
      </c>
      <c r="F77" s="103"/>
      <c r="G77" s="103" t="s">
        <v>442</v>
      </c>
      <c r="H77" s="103" t="s">
        <v>443</v>
      </c>
      <c r="I77" s="103" t="s">
        <v>381</v>
      </c>
      <c r="J77" s="199">
        <v>16</v>
      </c>
      <c r="K77" s="103" t="s">
        <v>480</v>
      </c>
      <c r="L77" s="103" t="s">
        <v>658</v>
      </c>
      <c r="M77" s="103" t="s">
        <v>412</v>
      </c>
      <c r="N77" s="103" t="s">
        <v>659</v>
      </c>
    </row>
    <row r="78" spans="1:14" ht="18.75" customHeight="1" x14ac:dyDescent="0.25">
      <c r="A78" s="102">
        <v>22</v>
      </c>
      <c r="B78" s="103" t="s">
        <v>109</v>
      </c>
      <c r="C78" s="103" t="s">
        <v>110</v>
      </c>
      <c r="D78" s="103" t="s">
        <v>111</v>
      </c>
      <c r="E78" s="104" t="s">
        <v>104</v>
      </c>
      <c r="F78" s="103"/>
      <c r="G78" s="103" t="s">
        <v>445</v>
      </c>
      <c r="H78" s="103" t="s">
        <v>446</v>
      </c>
      <c r="I78" s="103" t="s">
        <v>372</v>
      </c>
      <c r="J78" s="199">
        <v>18</v>
      </c>
      <c r="K78" s="103" t="s">
        <v>36</v>
      </c>
      <c r="L78" s="103" t="s">
        <v>669</v>
      </c>
      <c r="M78" s="103" t="s">
        <v>104</v>
      </c>
      <c r="N78" s="103" t="s">
        <v>657</v>
      </c>
    </row>
    <row r="79" spans="1:14" ht="18.75" customHeight="1" x14ac:dyDescent="0.25">
      <c r="A79" s="102">
        <v>23</v>
      </c>
      <c r="B79" s="103" t="s">
        <v>109</v>
      </c>
      <c r="C79" s="103" t="s">
        <v>110</v>
      </c>
      <c r="D79" s="103" t="s">
        <v>111</v>
      </c>
      <c r="E79" s="104" t="s">
        <v>104</v>
      </c>
      <c r="F79" s="103"/>
      <c r="G79" s="103" t="s">
        <v>449</v>
      </c>
      <c r="H79" s="103" t="s">
        <v>450</v>
      </c>
      <c r="I79" s="103" t="s">
        <v>451</v>
      </c>
      <c r="J79" s="199">
        <v>12</v>
      </c>
      <c r="K79" s="103" t="s">
        <v>36</v>
      </c>
      <c r="L79" s="103" t="s">
        <v>670</v>
      </c>
      <c r="M79" s="103" t="s">
        <v>104</v>
      </c>
      <c r="N79" s="103" t="s">
        <v>657</v>
      </c>
    </row>
    <row r="80" spans="1:14" ht="18.75" customHeight="1" x14ac:dyDescent="0.25">
      <c r="A80" s="102">
        <v>24</v>
      </c>
      <c r="B80" s="103" t="s">
        <v>109</v>
      </c>
      <c r="C80" s="103" t="s">
        <v>110</v>
      </c>
      <c r="D80" s="103" t="s">
        <v>111</v>
      </c>
      <c r="E80" s="104" t="s">
        <v>104</v>
      </c>
      <c r="F80" s="103"/>
      <c r="G80" s="103" t="s">
        <v>453</v>
      </c>
      <c r="H80" s="103" t="s">
        <v>454</v>
      </c>
      <c r="I80" s="103" t="s">
        <v>455</v>
      </c>
      <c r="J80" s="199">
        <v>15</v>
      </c>
      <c r="K80" s="103" t="s">
        <v>480</v>
      </c>
      <c r="L80" s="103" t="s">
        <v>658</v>
      </c>
      <c r="M80" s="103" t="s">
        <v>412</v>
      </c>
      <c r="N80" s="103" t="s">
        <v>659</v>
      </c>
    </row>
    <row r="81" spans="1:14" ht="18.75" customHeight="1" x14ac:dyDescent="0.25">
      <c r="A81" s="102">
        <v>25</v>
      </c>
      <c r="B81" s="103" t="s">
        <v>109</v>
      </c>
      <c r="C81" s="103" t="s">
        <v>110</v>
      </c>
      <c r="D81" s="103" t="s">
        <v>111</v>
      </c>
      <c r="E81" s="104" t="s">
        <v>104</v>
      </c>
      <c r="F81" s="103"/>
      <c r="G81" s="103" t="s">
        <v>457</v>
      </c>
      <c r="H81" s="103" t="s">
        <v>458</v>
      </c>
      <c r="I81" s="103" t="s">
        <v>459</v>
      </c>
      <c r="J81" s="199">
        <v>17</v>
      </c>
      <c r="K81" s="103" t="s">
        <v>36</v>
      </c>
      <c r="L81" s="103" t="s">
        <v>671</v>
      </c>
      <c r="M81" s="103" t="s">
        <v>104</v>
      </c>
      <c r="N81" s="103" t="s">
        <v>657</v>
      </c>
    </row>
    <row r="82" spans="1:14" ht="18.75" customHeight="1" x14ac:dyDescent="0.25">
      <c r="A82" s="102" t="s">
        <v>675</v>
      </c>
      <c r="B82" s="103" t="s">
        <v>109</v>
      </c>
      <c r="C82" s="103" t="s">
        <v>110</v>
      </c>
      <c r="D82" s="103" t="s">
        <v>111</v>
      </c>
      <c r="E82" s="104" t="s">
        <v>104</v>
      </c>
      <c r="F82" s="103"/>
      <c r="G82" s="103" t="s">
        <v>676</v>
      </c>
      <c r="H82" s="103" t="s">
        <v>454</v>
      </c>
      <c r="I82" s="103" t="s">
        <v>646</v>
      </c>
      <c r="J82" s="199">
        <v>15</v>
      </c>
      <c r="K82" s="103"/>
      <c r="L82" s="103"/>
      <c r="M82" s="103"/>
      <c r="N82" s="103"/>
    </row>
    <row r="83" spans="1:14" ht="18.75" customHeight="1" x14ac:dyDescent="0.25">
      <c r="A83" s="102">
        <v>1</v>
      </c>
      <c r="B83" s="103" t="s">
        <v>47</v>
      </c>
      <c r="C83" s="103" t="s">
        <v>112</v>
      </c>
      <c r="D83" s="103" t="s">
        <v>113</v>
      </c>
      <c r="E83" s="104" t="s">
        <v>104</v>
      </c>
      <c r="F83" s="103"/>
      <c r="G83" s="103" t="s">
        <v>353</v>
      </c>
      <c r="H83" s="103" t="s">
        <v>354</v>
      </c>
      <c r="I83" s="103" t="s">
        <v>360</v>
      </c>
      <c r="J83" s="199">
        <v>19</v>
      </c>
      <c r="K83" s="103" t="s">
        <v>36</v>
      </c>
      <c r="L83" s="103" t="s">
        <v>656</v>
      </c>
      <c r="M83" s="103" t="s">
        <v>104</v>
      </c>
      <c r="N83" s="103" t="s">
        <v>657</v>
      </c>
    </row>
    <row r="84" spans="1:14" ht="4.5" customHeight="1" x14ac:dyDescent="0.25">
      <c r="A84" s="105">
        <v>2</v>
      </c>
      <c r="B84" s="105" t="s">
        <v>47</v>
      </c>
      <c r="C84" s="105" t="s">
        <v>112</v>
      </c>
      <c r="D84" s="105" t="s">
        <v>113</v>
      </c>
      <c r="E84" s="105" t="s">
        <v>104</v>
      </c>
      <c r="F84" s="105"/>
      <c r="G84" s="105" t="s">
        <v>363</v>
      </c>
      <c r="H84" s="105" t="s">
        <v>364</v>
      </c>
      <c r="I84" s="105" t="s">
        <v>367</v>
      </c>
      <c r="J84" s="201">
        <v>17</v>
      </c>
      <c r="K84" s="105" t="s">
        <v>480</v>
      </c>
      <c r="L84" s="105" t="s">
        <v>658</v>
      </c>
      <c r="M84" s="105" t="s">
        <v>412</v>
      </c>
      <c r="N84" s="105" t="s">
        <v>659</v>
      </c>
    </row>
    <row r="85" spans="1:14" ht="19.5" customHeight="1" x14ac:dyDescent="0.25">
      <c r="A85" s="259" t="s">
        <v>675</v>
      </c>
      <c r="B85" s="260"/>
      <c r="C85" s="260"/>
      <c r="D85" s="260"/>
      <c r="E85" s="260"/>
      <c r="F85" s="260"/>
      <c r="G85" s="260"/>
      <c r="H85" s="260"/>
      <c r="I85" s="260"/>
      <c r="J85" s="260"/>
      <c r="K85" s="260"/>
      <c r="L85" s="260"/>
      <c r="M85" s="260"/>
      <c r="N85" s="261"/>
    </row>
    <row r="86" spans="1:14" ht="18.75" customHeight="1" x14ac:dyDescent="0.25">
      <c r="A86" s="34">
        <v>4</v>
      </c>
      <c r="B86" s="35" t="s">
        <v>47</v>
      </c>
      <c r="C86" s="35" t="s">
        <v>112</v>
      </c>
      <c r="D86" s="35" t="s">
        <v>113</v>
      </c>
      <c r="E86" s="101" t="s">
        <v>104</v>
      </c>
      <c r="F86" s="35"/>
      <c r="G86" s="35" t="s">
        <v>374</v>
      </c>
      <c r="H86" s="35" t="s">
        <v>375</v>
      </c>
      <c r="I86" s="35" t="s">
        <v>377</v>
      </c>
      <c r="J86" s="198">
        <v>13</v>
      </c>
      <c r="K86" s="35" t="s">
        <v>36</v>
      </c>
      <c r="L86" s="35" t="s">
        <v>660</v>
      </c>
      <c r="M86" s="35" t="s">
        <v>104</v>
      </c>
      <c r="N86" s="35" t="s">
        <v>657</v>
      </c>
    </row>
    <row r="87" spans="1:14" ht="18.75" customHeight="1" x14ac:dyDescent="0.25">
      <c r="A87" s="106">
        <v>5</v>
      </c>
      <c r="B87" s="107" t="s">
        <v>47</v>
      </c>
      <c r="C87" s="107" t="s">
        <v>112</v>
      </c>
      <c r="D87" s="107" t="s">
        <v>113</v>
      </c>
      <c r="E87" s="108" t="s">
        <v>104</v>
      </c>
      <c r="F87" s="107"/>
      <c r="G87" s="107" t="s">
        <v>379</v>
      </c>
      <c r="H87" s="107" t="s">
        <v>380</v>
      </c>
      <c r="I87" s="107" t="s">
        <v>381</v>
      </c>
      <c r="J87" s="200">
        <v>12</v>
      </c>
      <c r="K87" s="107" t="s">
        <v>480</v>
      </c>
      <c r="L87" s="107" t="s">
        <v>658</v>
      </c>
      <c r="M87" s="107" t="s">
        <v>412</v>
      </c>
      <c r="N87" s="107" t="s">
        <v>659</v>
      </c>
    </row>
    <row r="88" spans="1:14" ht="18.75" customHeight="1" x14ac:dyDescent="0.25">
      <c r="A88" s="106">
        <v>6</v>
      </c>
      <c r="B88" s="107" t="s">
        <v>47</v>
      </c>
      <c r="C88" s="107" t="s">
        <v>112</v>
      </c>
      <c r="D88" s="107" t="s">
        <v>113</v>
      </c>
      <c r="E88" s="108" t="s">
        <v>104</v>
      </c>
      <c r="F88" s="107"/>
      <c r="G88" s="107" t="s">
        <v>383</v>
      </c>
      <c r="H88" s="107" t="s">
        <v>384</v>
      </c>
      <c r="I88" s="107" t="s">
        <v>385</v>
      </c>
      <c r="J88" s="200">
        <v>15</v>
      </c>
      <c r="K88" s="107" t="s">
        <v>36</v>
      </c>
      <c r="L88" s="107" t="s">
        <v>661</v>
      </c>
      <c r="M88" s="107" t="s">
        <v>104</v>
      </c>
      <c r="N88" s="107" t="s">
        <v>657</v>
      </c>
    </row>
    <row r="89" spans="1:14" ht="18.75" customHeight="1" x14ac:dyDescent="0.25">
      <c r="A89" s="106">
        <v>7</v>
      </c>
      <c r="B89" s="107" t="s">
        <v>47</v>
      </c>
      <c r="C89" s="107" t="s">
        <v>112</v>
      </c>
      <c r="D89" s="107" t="s">
        <v>113</v>
      </c>
      <c r="E89" s="108" t="s">
        <v>104</v>
      </c>
      <c r="F89" s="107"/>
      <c r="G89" s="107" t="s">
        <v>387</v>
      </c>
      <c r="H89" s="107" t="s">
        <v>388</v>
      </c>
      <c r="I89" s="107" t="s">
        <v>389</v>
      </c>
      <c r="J89" s="200">
        <v>6</v>
      </c>
      <c r="K89" s="107" t="s">
        <v>480</v>
      </c>
      <c r="L89" s="107" t="s">
        <v>658</v>
      </c>
      <c r="M89" s="107" t="s">
        <v>412</v>
      </c>
      <c r="N89" s="107" t="s">
        <v>659</v>
      </c>
    </row>
    <row r="90" spans="1:14" ht="18.75" customHeight="1" x14ac:dyDescent="0.25">
      <c r="A90" s="106">
        <v>8</v>
      </c>
      <c r="B90" s="107" t="s">
        <v>47</v>
      </c>
      <c r="C90" s="107" t="s">
        <v>112</v>
      </c>
      <c r="D90" s="107" t="s">
        <v>113</v>
      </c>
      <c r="E90" s="108" t="s">
        <v>104</v>
      </c>
      <c r="F90" s="107"/>
      <c r="G90" s="107" t="s">
        <v>391</v>
      </c>
      <c r="H90" s="107" t="s">
        <v>392</v>
      </c>
      <c r="I90" s="107" t="s">
        <v>393</v>
      </c>
      <c r="J90" s="200">
        <v>12</v>
      </c>
      <c r="K90" s="107" t="s">
        <v>480</v>
      </c>
      <c r="L90" s="107" t="s">
        <v>658</v>
      </c>
      <c r="M90" s="107" t="s">
        <v>412</v>
      </c>
      <c r="N90" s="107" t="s">
        <v>659</v>
      </c>
    </row>
    <row r="91" spans="1:14" ht="18.75" customHeight="1" x14ac:dyDescent="0.25">
      <c r="A91" s="106">
        <v>9</v>
      </c>
      <c r="B91" s="107" t="s">
        <v>47</v>
      </c>
      <c r="C91" s="107" t="s">
        <v>112</v>
      </c>
      <c r="D91" s="107" t="s">
        <v>113</v>
      </c>
      <c r="E91" s="108" t="s">
        <v>104</v>
      </c>
      <c r="F91" s="107"/>
      <c r="G91" s="107" t="s">
        <v>395</v>
      </c>
      <c r="H91" s="107" t="s">
        <v>396</v>
      </c>
      <c r="I91" s="107" t="s">
        <v>360</v>
      </c>
      <c r="J91" s="200">
        <v>6</v>
      </c>
      <c r="K91" s="107" t="s">
        <v>36</v>
      </c>
      <c r="L91" s="107" t="s">
        <v>662</v>
      </c>
      <c r="M91" s="107" t="s">
        <v>104</v>
      </c>
      <c r="N91" s="107" t="s">
        <v>657</v>
      </c>
    </row>
    <row r="92" spans="1:14" ht="18.75" customHeight="1" x14ac:dyDescent="0.25">
      <c r="A92" s="106">
        <v>10</v>
      </c>
      <c r="B92" s="107" t="s">
        <v>47</v>
      </c>
      <c r="C92" s="107" t="s">
        <v>112</v>
      </c>
      <c r="D92" s="107" t="s">
        <v>113</v>
      </c>
      <c r="E92" s="108" t="s">
        <v>104</v>
      </c>
      <c r="F92" s="107"/>
      <c r="G92" s="107" t="s">
        <v>399</v>
      </c>
      <c r="H92" s="107" t="s">
        <v>400</v>
      </c>
      <c r="I92" s="107" t="s">
        <v>372</v>
      </c>
      <c r="J92" s="200">
        <v>15</v>
      </c>
      <c r="K92" s="107" t="s">
        <v>480</v>
      </c>
      <c r="L92" s="107" t="s">
        <v>658</v>
      </c>
      <c r="M92" s="107" t="s">
        <v>412</v>
      </c>
      <c r="N92" s="107" t="s">
        <v>659</v>
      </c>
    </row>
    <row r="93" spans="1:14" ht="18.75" customHeight="1" x14ac:dyDescent="0.25">
      <c r="A93" s="106">
        <v>11</v>
      </c>
      <c r="B93" s="107" t="s">
        <v>47</v>
      </c>
      <c r="C93" s="107" t="s">
        <v>112</v>
      </c>
      <c r="D93" s="107" t="s">
        <v>113</v>
      </c>
      <c r="E93" s="108" t="s">
        <v>104</v>
      </c>
      <c r="F93" s="107"/>
      <c r="G93" s="107" t="s">
        <v>402</v>
      </c>
      <c r="H93" s="107" t="s">
        <v>403</v>
      </c>
      <c r="I93" s="107" t="s">
        <v>404</v>
      </c>
      <c r="J93" s="200">
        <v>17</v>
      </c>
      <c r="K93" s="107" t="s">
        <v>36</v>
      </c>
      <c r="L93" s="107" t="s">
        <v>663</v>
      </c>
      <c r="M93" s="107" t="s">
        <v>104</v>
      </c>
      <c r="N93" s="107" t="s">
        <v>657</v>
      </c>
    </row>
    <row r="94" spans="1:14" ht="18.75" customHeight="1" x14ac:dyDescent="0.25">
      <c r="A94" s="106">
        <v>12</v>
      </c>
      <c r="B94" s="107" t="s">
        <v>47</v>
      </c>
      <c r="C94" s="107" t="s">
        <v>112</v>
      </c>
      <c r="D94" s="107" t="s">
        <v>113</v>
      </c>
      <c r="E94" s="108" t="s">
        <v>104</v>
      </c>
      <c r="F94" s="107"/>
      <c r="G94" s="107" t="s">
        <v>406</v>
      </c>
      <c r="H94" s="107" t="s">
        <v>407</v>
      </c>
      <c r="I94" s="107" t="s">
        <v>367</v>
      </c>
      <c r="J94" s="200">
        <v>13</v>
      </c>
      <c r="K94" s="107" t="s">
        <v>480</v>
      </c>
      <c r="L94" s="107" t="s">
        <v>658</v>
      </c>
      <c r="M94" s="107" t="s">
        <v>412</v>
      </c>
      <c r="N94" s="107" t="s">
        <v>659</v>
      </c>
    </row>
    <row r="95" spans="1:14" ht="18.75" customHeight="1" x14ac:dyDescent="0.25">
      <c r="A95" s="106">
        <v>13</v>
      </c>
      <c r="B95" s="107" t="s">
        <v>47</v>
      </c>
      <c r="C95" s="107" t="s">
        <v>112</v>
      </c>
      <c r="D95" s="107" t="s">
        <v>113</v>
      </c>
      <c r="E95" s="108" t="s">
        <v>104</v>
      </c>
      <c r="F95" s="107"/>
      <c r="G95" s="107" t="s">
        <v>409</v>
      </c>
      <c r="H95" s="107" t="s">
        <v>410</v>
      </c>
      <c r="I95" s="107" t="s">
        <v>360</v>
      </c>
      <c r="J95" s="200">
        <v>7</v>
      </c>
      <c r="K95" s="107" t="s">
        <v>36</v>
      </c>
      <c r="L95" s="107" t="s">
        <v>664</v>
      </c>
      <c r="M95" s="107" t="s">
        <v>104</v>
      </c>
      <c r="N95" s="107" t="s">
        <v>657</v>
      </c>
    </row>
    <row r="96" spans="1:14" ht="18.75" customHeight="1" x14ac:dyDescent="0.25">
      <c r="A96" s="106">
        <v>14</v>
      </c>
      <c r="B96" s="107" t="s">
        <v>47</v>
      </c>
      <c r="C96" s="107" t="s">
        <v>112</v>
      </c>
      <c r="D96" s="107" t="s">
        <v>113</v>
      </c>
      <c r="E96" s="108" t="s">
        <v>104</v>
      </c>
      <c r="F96" s="107"/>
      <c r="G96" s="107" t="s">
        <v>415</v>
      </c>
      <c r="H96" s="107" t="s">
        <v>416</v>
      </c>
      <c r="I96" s="107" t="s">
        <v>385</v>
      </c>
      <c r="J96" s="200">
        <v>11</v>
      </c>
      <c r="K96" s="107" t="s">
        <v>36</v>
      </c>
      <c r="L96" s="107" t="s">
        <v>665</v>
      </c>
      <c r="M96" s="107" t="s">
        <v>104</v>
      </c>
      <c r="N96" s="107" t="s">
        <v>657</v>
      </c>
    </row>
    <row r="97" spans="1:14" ht="18.75" customHeight="1" x14ac:dyDescent="0.25">
      <c r="A97" s="106">
        <v>15</v>
      </c>
      <c r="B97" s="107" t="s">
        <v>47</v>
      </c>
      <c r="C97" s="107" t="s">
        <v>112</v>
      </c>
      <c r="D97" s="107" t="s">
        <v>113</v>
      </c>
      <c r="E97" s="108" t="s">
        <v>104</v>
      </c>
      <c r="F97" s="107"/>
      <c r="G97" s="107" t="s">
        <v>418</v>
      </c>
      <c r="H97" s="107" t="s">
        <v>419</v>
      </c>
      <c r="I97" s="107" t="s">
        <v>421</v>
      </c>
      <c r="J97" s="200">
        <v>15</v>
      </c>
      <c r="K97" s="107" t="s">
        <v>480</v>
      </c>
      <c r="L97" s="107" t="s">
        <v>658</v>
      </c>
      <c r="M97" s="107" t="s">
        <v>412</v>
      </c>
      <c r="N97" s="107" t="s">
        <v>659</v>
      </c>
    </row>
    <row r="98" spans="1:14" ht="18.75" customHeight="1" x14ac:dyDescent="0.25">
      <c r="A98" s="106">
        <v>16</v>
      </c>
      <c r="B98" s="107" t="s">
        <v>47</v>
      </c>
      <c r="C98" s="107" t="s">
        <v>112</v>
      </c>
      <c r="D98" s="107" t="s">
        <v>113</v>
      </c>
      <c r="E98" s="108" t="s">
        <v>104</v>
      </c>
      <c r="F98" s="107"/>
      <c r="G98" s="107" t="s">
        <v>423</v>
      </c>
      <c r="H98" s="107" t="s">
        <v>424</v>
      </c>
      <c r="I98" s="107" t="s">
        <v>425</v>
      </c>
      <c r="J98" s="200">
        <v>11</v>
      </c>
      <c r="K98" s="107" t="s">
        <v>36</v>
      </c>
      <c r="L98" s="107" t="s">
        <v>666</v>
      </c>
      <c r="M98" s="107" t="s">
        <v>104</v>
      </c>
      <c r="N98" s="107" t="s">
        <v>657</v>
      </c>
    </row>
    <row r="99" spans="1:14" ht="18.75" customHeight="1" x14ac:dyDescent="0.25">
      <c r="A99" s="106">
        <v>17</v>
      </c>
      <c r="B99" s="107" t="s">
        <v>47</v>
      </c>
      <c r="C99" s="107" t="s">
        <v>112</v>
      </c>
      <c r="D99" s="107" t="s">
        <v>113</v>
      </c>
      <c r="E99" s="108" t="s">
        <v>104</v>
      </c>
      <c r="F99" s="107"/>
      <c r="G99" s="107" t="s">
        <v>427</v>
      </c>
      <c r="H99" s="107" t="s">
        <v>428</v>
      </c>
      <c r="I99" s="107" t="s">
        <v>429</v>
      </c>
      <c r="J99" s="200">
        <v>20</v>
      </c>
      <c r="K99" s="107" t="s">
        <v>480</v>
      </c>
      <c r="L99" s="107" t="s">
        <v>658</v>
      </c>
      <c r="M99" s="107" t="s">
        <v>412</v>
      </c>
      <c r="N99" s="107" t="s">
        <v>659</v>
      </c>
    </row>
    <row r="100" spans="1:14" ht="18.75" customHeight="1" x14ac:dyDescent="0.25">
      <c r="A100" s="106">
        <v>18</v>
      </c>
      <c r="B100" s="107" t="s">
        <v>47</v>
      </c>
      <c r="C100" s="107" t="s">
        <v>112</v>
      </c>
      <c r="D100" s="107" t="s">
        <v>113</v>
      </c>
      <c r="E100" s="108" t="s">
        <v>104</v>
      </c>
      <c r="F100" s="107"/>
      <c r="G100" s="107" t="s">
        <v>431</v>
      </c>
      <c r="H100" s="107" t="s">
        <v>432</v>
      </c>
      <c r="I100" s="107" t="s">
        <v>360</v>
      </c>
      <c r="J100" s="200">
        <v>17</v>
      </c>
      <c r="K100" s="107" t="s">
        <v>36</v>
      </c>
      <c r="L100" s="107" t="s">
        <v>667</v>
      </c>
      <c r="M100" s="107" t="s">
        <v>104</v>
      </c>
      <c r="N100" s="107" t="s">
        <v>657</v>
      </c>
    </row>
    <row r="101" spans="1:14" ht="18.75" customHeight="1" x14ac:dyDescent="0.25">
      <c r="A101" s="106">
        <v>19</v>
      </c>
      <c r="B101" s="107" t="s">
        <v>47</v>
      </c>
      <c r="C101" s="107" t="s">
        <v>112</v>
      </c>
      <c r="D101" s="107" t="s">
        <v>113</v>
      </c>
      <c r="E101" s="108" t="s">
        <v>104</v>
      </c>
      <c r="F101" s="107"/>
      <c r="G101" s="107" t="s">
        <v>434</v>
      </c>
      <c r="H101" s="107" t="s">
        <v>435</v>
      </c>
      <c r="I101" s="107" t="s">
        <v>436</v>
      </c>
      <c r="J101" s="200">
        <v>19</v>
      </c>
      <c r="K101" s="107" t="s">
        <v>480</v>
      </c>
      <c r="L101" s="107" t="s">
        <v>658</v>
      </c>
      <c r="M101" s="107" t="s">
        <v>412</v>
      </c>
      <c r="N101" s="107" t="s">
        <v>659</v>
      </c>
    </row>
    <row r="102" spans="1:14" ht="18.75" customHeight="1" x14ac:dyDescent="0.25">
      <c r="A102" s="106">
        <v>20</v>
      </c>
      <c r="B102" s="107" t="s">
        <v>47</v>
      </c>
      <c r="C102" s="107" t="s">
        <v>112</v>
      </c>
      <c r="D102" s="107" t="s">
        <v>113</v>
      </c>
      <c r="E102" s="108" t="s">
        <v>104</v>
      </c>
      <c r="F102" s="107"/>
      <c r="G102" s="107" t="s">
        <v>438</v>
      </c>
      <c r="H102" s="107" t="s">
        <v>439</v>
      </c>
      <c r="I102" s="107" t="s">
        <v>440</v>
      </c>
      <c r="J102" s="200">
        <v>9</v>
      </c>
      <c r="K102" s="107" t="s">
        <v>36</v>
      </c>
      <c r="L102" s="107" t="s">
        <v>668</v>
      </c>
      <c r="M102" s="107" t="s">
        <v>104</v>
      </c>
      <c r="N102" s="107" t="s">
        <v>657</v>
      </c>
    </row>
    <row r="103" spans="1:14" ht="18.75" customHeight="1" x14ac:dyDescent="0.25">
      <c r="A103" s="106">
        <v>21</v>
      </c>
      <c r="B103" s="107" t="s">
        <v>47</v>
      </c>
      <c r="C103" s="107" t="s">
        <v>112</v>
      </c>
      <c r="D103" s="107" t="s">
        <v>113</v>
      </c>
      <c r="E103" s="108" t="s">
        <v>104</v>
      </c>
      <c r="F103" s="107"/>
      <c r="G103" s="107" t="s">
        <v>442</v>
      </c>
      <c r="H103" s="107" t="s">
        <v>443</v>
      </c>
      <c r="I103" s="107" t="s">
        <v>381</v>
      </c>
      <c r="J103" s="200">
        <v>13</v>
      </c>
      <c r="K103" s="107" t="s">
        <v>480</v>
      </c>
      <c r="L103" s="107" t="s">
        <v>658</v>
      </c>
      <c r="M103" s="107" t="s">
        <v>412</v>
      </c>
      <c r="N103" s="107" t="s">
        <v>659</v>
      </c>
    </row>
    <row r="104" spans="1:14" ht="18.75" customHeight="1" x14ac:dyDescent="0.25">
      <c r="A104" s="106">
        <v>22</v>
      </c>
      <c r="B104" s="107" t="s">
        <v>47</v>
      </c>
      <c r="C104" s="107" t="s">
        <v>112</v>
      </c>
      <c r="D104" s="107" t="s">
        <v>113</v>
      </c>
      <c r="E104" s="108" t="s">
        <v>104</v>
      </c>
      <c r="F104" s="107"/>
      <c r="G104" s="107" t="s">
        <v>445</v>
      </c>
      <c r="H104" s="107" t="s">
        <v>446</v>
      </c>
      <c r="I104" s="107" t="s">
        <v>372</v>
      </c>
      <c r="J104" s="200">
        <v>9</v>
      </c>
      <c r="K104" s="107" t="s">
        <v>36</v>
      </c>
      <c r="L104" s="107" t="s">
        <v>669</v>
      </c>
      <c r="M104" s="107" t="s">
        <v>104</v>
      </c>
      <c r="N104" s="107" t="s">
        <v>657</v>
      </c>
    </row>
    <row r="105" spans="1:14" ht="18.75" customHeight="1" x14ac:dyDescent="0.25">
      <c r="A105" s="106">
        <v>23</v>
      </c>
      <c r="B105" s="107" t="s">
        <v>47</v>
      </c>
      <c r="C105" s="107" t="s">
        <v>112</v>
      </c>
      <c r="D105" s="107" t="s">
        <v>113</v>
      </c>
      <c r="E105" s="108" t="s">
        <v>104</v>
      </c>
      <c r="F105" s="107"/>
      <c r="G105" s="107" t="s">
        <v>449</v>
      </c>
      <c r="H105" s="107" t="s">
        <v>450</v>
      </c>
      <c r="I105" s="107" t="s">
        <v>451</v>
      </c>
      <c r="J105" s="200">
        <v>12</v>
      </c>
      <c r="K105" s="107" t="s">
        <v>36</v>
      </c>
      <c r="L105" s="107" t="s">
        <v>670</v>
      </c>
      <c r="M105" s="107" t="s">
        <v>104</v>
      </c>
      <c r="N105" s="107" t="s">
        <v>657</v>
      </c>
    </row>
    <row r="106" spans="1:14" ht="18.75" customHeight="1" x14ac:dyDescent="0.25">
      <c r="A106" s="106">
        <v>24</v>
      </c>
      <c r="B106" s="107" t="s">
        <v>47</v>
      </c>
      <c r="C106" s="107" t="s">
        <v>112</v>
      </c>
      <c r="D106" s="107" t="s">
        <v>113</v>
      </c>
      <c r="E106" s="108" t="s">
        <v>104</v>
      </c>
      <c r="F106" s="107"/>
      <c r="G106" s="107" t="s">
        <v>453</v>
      </c>
      <c r="H106" s="107" t="s">
        <v>454</v>
      </c>
      <c r="I106" s="107" t="s">
        <v>455</v>
      </c>
      <c r="J106" s="200">
        <v>13</v>
      </c>
      <c r="K106" s="107" t="s">
        <v>480</v>
      </c>
      <c r="L106" s="107" t="s">
        <v>658</v>
      </c>
      <c r="M106" s="107" t="s">
        <v>412</v>
      </c>
      <c r="N106" s="107" t="s">
        <v>659</v>
      </c>
    </row>
    <row r="107" spans="1:14" ht="18.75" customHeight="1" x14ac:dyDescent="0.25">
      <c r="A107" s="106">
        <v>25</v>
      </c>
      <c r="B107" s="107" t="s">
        <v>47</v>
      </c>
      <c r="C107" s="107" t="s">
        <v>112</v>
      </c>
      <c r="D107" s="107" t="s">
        <v>113</v>
      </c>
      <c r="E107" s="108" t="s">
        <v>104</v>
      </c>
      <c r="F107" s="107"/>
      <c r="G107" s="107" t="s">
        <v>457</v>
      </c>
      <c r="H107" s="107" t="s">
        <v>458</v>
      </c>
      <c r="I107" s="107" t="s">
        <v>459</v>
      </c>
      <c r="J107" s="200">
        <v>18</v>
      </c>
      <c r="K107" s="107" t="s">
        <v>36</v>
      </c>
      <c r="L107" s="107" t="s">
        <v>671</v>
      </c>
      <c r="M107" s="107" t="s">
        <v>104</v>
      </c>
      <c r="N107" s="107" t="s">
        <v>657</v>
      </c>
    </row>
    <row r="108" spans="1:14" ht="18.75" customHeight="1" x14ac:dyDescent="0.25">
      <c r="A108" s="106" t="s">
        <v>677</v>
      </c>
      <c r="B108" s="107" t="s">
        <v>47</v>
      </c>
      <c r="C108" s="107" t="s">
        <v>112</v>
      </c>
      <c r="D108" s="107" t="s">
        <v>113</v>
      </c>
      <c r="E108" s="108" t="s">
        <v>104</v>
      </c>
      <c r="F108" s="107"/>
      <c r="G108" s="107" t="s">
        <v>678</v>
      </c>
      <c r="H108" s="107" t="s">
        <v>450</v>
      </c>
      <c r="I108" s="107" t="s">
        <v>377</v>
      </c>
      <c r="J108" s="200">
        <v>17</v>
      </c>
      <c r="K108" s="107"/>
      <c r="L108" s="107"/>
      <c r="M108" s="107"/>
      <c r="N108" s="107"/>
    </row>
    <row r="109" spans="1:14" ht="18.75" customHeight="1" x14ac:dyDescent="0.25">
      <c r="A109" s="106">
        <v>1</v>
      </c>
      <c r="B109" s="107" t="s">
        <v>114</v>
      </c>
      <c r="C109" s="107" t="s">
        <v>115</v>
      </c>
      <c r="D109" s="107" t="s">
        <v>116</v>
      </c>
      <c r="E109" s="108" t="s">
        <v>104</v>
      </c>
      <c r="F109" s="107"/>
      <c r="G109" s="107" t="s">
        <v>353</v>
      </c>
      <c r="H109" s="107" t="s">
        <v>354</v>
      </c>
      <c r="I109" s="107" t="s">
        <v>360</v>
      </c>
      <c r="J109" s="200">
        <v>122</v>
      </c>
      <c r="K109" s="107" t="s">
        <v>36</v>
      </c>
      <c r="L109" s="107" t="s">
        <v>656</v>
      </c>
      <c r="M109" s="107" t="s">
        <v>104</v>
      </c>
      <c r="N109" s="107" t="s">
        <v>657</v>
      </c>
    </row>
    <row r="110" spans="1:14" ht="18.75" customHeight="1" x14ac:dyDescent="0.25">
      <c r="A110" s="106">
        <v>2</v>
      </c>
      <c r="B110" s="107" t="s">
        <v>114</v>
      </c>
      <c r="C110" s="107" t="s">
        <v>115</v>
      </c>
      <c r="D110" s="107" t="s">
        <v>116</v>
      </c>
      <c r="E110" s="108" t="s">
        <v>104</v>
      </c>
      <c r="F110" s="107"/>
      <c r="G110" s="107" t="s">
        <v>363</v>
      </c>
      <c r="H110" s="107" t="s">
        <v>364</v>
      </c>
      <c r="I110" s="107" t="s">
        <v>367</v>
      </c>
      <c r="J110" s="200">
        <v>86</v>
      </c>
      <c r="K110" s="107" t="s">
        <v>480</v>
      </c>
      <c r="L110" s="107" t="s">
        <v>658</v>
      </c>
      <c r="M110" s="107" t="s">
        <v>412</v>
      </c>
      <c r="N110" s="107" t="s">
        <v>659</v>
      </c>
    </row>
    <row r="111" spans="1:14" ht="4.5" customHeight="1" x14ac:dyDescent="0.25">
      <c r="A111" s="105">
        <v>3</v>
      </c>
      <c r="B111" s="105" t="s">
        <v>114</v>
      </c>
      <c r="C111" s="105" t="s">
        <v>115</v>
      </c>
      <c r="D111" s="105" t="s">
        <v>116</v>
      </c>
      <c r="E111" s="105" t="s">
        <v>104</v>
      </c>
      <c r="F111" s="105"/>
      <c r="G111" s="105" t="s">
        <v>369</v>
      </c>
      <c r="H111" s="105" t="s">
        <v>370</v>
      </c>
      <c r="I111" s="105" t="s">
        <v>372</v>
      </c>
      <c r="J111" s="201">
        <v>65</v>
      </c>
      <c r="K111" s="105" t="s">
        <v>480</v>
      </c>
      <c r="L111" s="105" t="s">
        <v>658</v>
      </c>
      <c r="M111" s="105" t="s">
        <v>412</v>
      </c>
      <c r="N111" s="105" t="s">
        <v>659</v>
      </c>
    </row>
    <row r="112" spans="1:14" ht="19.5" customHeight="1" x14ac:dyDescent="0.25">
      <c r="A112" s="259" t="s">
        <v>677</v>
      </c>
      <c r="B112" s="260"/>
      <c r="C112" s="260"/>
      <c r="D112" s="260"/>
      <c r="E112" s="260"/>
      <c r="F112" s="260"/>
      <c r="G112" s="260"/>
      <c r="H112" s="260"/>
      <c r="I112" s="260"/>
      <c r="J112" s="260"/>
      <c r="K112" s="260"/>
      <c r="L112" s="260"/>
      <c r="M112" s="260"/>
      <c r="N112" s="261"/>
    </row>
    <row r="113" spans="1:14" ht="18.75" customHeight="1" x14ac:dyDescent="0.25">
      <c r="A113" s="34">
        <v>5</v>
      </c>
      <c r="B113" s="35" t="s">
        <v>114</v>
      </c>
      <c r="C113" s="35" t="s">
        <v>115</v>
      </c>
      <c r="D113" s="35" t="s">
        <v>116</v>
      </c>
      <c r="E113" s="101" t="s">
        <v>104</v>
      </c>
      <c r="F113" s="35"/>
      <c r="G113" s="35" t="s">
        <v>379</v>
      </c>
      <c r="H113" s="35" t="s">
        <v>380</v>
      </c>
      <c r="I113" s="35" t="s">
        <v>381</v>
      </c>
      <c r="J113" s="198">
        <v>160</v>
      </c>
      <c r="K113" s="35" t="s">
        <v>480</v>
      </c>
      <c r="L113" s="35" t="s">
        <v>658</v>
      </c>
      <c r="M113" s="35" t="s">
        <v>412</v>
      </c>
      <c r="N113" s="35" t="s">
        <v>659</v>
      </c>
    </row>
    <row r="114" spans="1:14" ht="18.75" customHeight="1" x14ac:dyDescent="0.25">
      <c r="A114" s="102">
        <v>6</v>
      </c>
      <c r="B114" s="103" t="s">
        <v>114</v>
      </c>
      <c r="C114" s="103" t="s">
        <v>115</v>
      </c>
      <c r="D114" s="103" t="s">
        <v>116</v>
      </c>
      <c r="E114" s="104" t="s">
        <v>104</v>
      </c>
      <c r="F114" s="103"/>
      <c r="G114" s="103" t="s">
        <v>383</v>
      </c>
      <c r="H114" s="103" t="s">
        <v>384</v>
      </c>
      <c r="I114" s="103" t="s">
        <v>385</v>
      </c>
      <c r="J114" s="199">
        <v>156</v>
      </c>
      <c r="K114" s="103" t="s">
        <v>36</v>
      </c>
      <c r="L114" s="103" t="s">
        <v>661</v>
      </c>
      <c r="M114" s="103" t="s">
        <v>104</v>
      </c>
      <c r="N114" s="103" t="s">
        <v>657</v>
      </c>
    </row>
    <row r="115" spans="1:14" ht="18.75" customHeight="1" x14ac:dyDescent="0.25">
      <c r="A115" s="102">
        <v>7</v>
      </c>
      <c r="B115" s="103" t="s">
        <v>114</v>
      </c>
      <c r="C115" s="103" t="s">
        <v>115</v>
      </c>
      <c r="D115" s="103" t="s">
        <v>116</v>
      </c>
      <c r="E115" s="104" t="s">
        <v>104</v>
      </c>
      <c r="F115" s="103"/>
      <c r="G115" s="103" t="s">
        <v>387</v>
      </c>
      <c r="H115" s="103" t="s">
        <v>388</v>
      </c>
      <c r="I115" s="103" t="s">
        <v>389</v>
      </c>
      <c r="J115" s="199">
        <v>53</v>
      </c>
      <c r="K115" s="103" t="s">
        <v>480</v>
      </c>
      <c r="L115" s="103" t="s">
        <v>658</v>
      </c>
      <c r="M115" s="103" t="s">
        <v>412</v>
      </c>
      <c r="N115" s="103" t="s">
        <v>659</v>
      </c>
    </row>
    <row r="116" spans="1:14" ht="18.75" customHeight="1" x14ac:dyDescent="0.25">
      <c r="A116" s="102">
        <v>8</v>
      </c>
      <c r="B116" s="103" t="s">
        <v>114</v>
      </c>
      <c r="C116" s="103" t="s">
        <v>115</v>
      </c>
      <c r="D116" s="103" t="s">
        <v>116</v>
      </c>
      <c r="E116" s="104" t="s">
        <v>104</v>
      </c>
      <c r="F116" s="103"/>
      <c r="G116" s="103" t="s">
        <v>391</v>
      </c>
      <c r="H116" s="103" t="s">
        <v>392</v>
      </c>
      <c r="I116" s="103" t="s">
        <v>393</v>
      </c>
      <c r="J116" s="199">
        <v>223</v>
      </c>
      <c r="K116" s="103" t="s">
        <v>480</v>
      </c>
      <c r="L116" s="103" t="s">
        <v>658</v>
      </c>
      <c r="M116" s="103" t="s">
        <v>412</v>
      </c>
      <c r="N116" s="103" t="s">
        <v>659</v>
      </c>
    </row>
    <row r="117" spans="1:14" ht="18.75" customHeight="1" x14ac:dyDescent="0.25">
      <c r="A117" s="102">
        <v>9</v>
      </c>
      <c r="B117" s="103" t="s">
        <v>114</v>
      </c>
      <c r="C117" s="103" t="s">
        <v>115</v>
      </c>
      <c r="D117" s="103" t="s">
        <v>116</v>
      </c>
      <c r="E117" s="104" t="s">
        <v>104</v>
      </c>
      <c r="F117" s="103"/>
      <c r="G117" s="103" t="s">
        <v>395</v>
      </c>
      <c r="H117" s="103" t="s">
        <v>396</v>
      </c>
      <c r="I117" s="103" t="s">
        <v>360</v>
      </c>
      <c r="J117" s="199">
        <v>42</v>
      </c>
      <c r="K117" s="103" t="s">
        <v>36</v>
      </c>
      <c r="L117" s="103" t="s">
        <v>662</v>
      </c>
      <c r="M117" s="103" t="s">
        <v>104</v>
      </c>
      <c r="N117" s="103" t="s">
        <v>657</v>
      </c>
    </row>
    <row r="118" spans="1:14" ht="18.75" customHeight="1" x14ac:dyDescent="0.25">
      <c r="A118" s="102">
        <v>10</v>
      </c>
      <c r="B118" s="103" t="s">
        <v>114</v>
      </c>
      <c r="C118" s="103" t="s">
        <v>115</v>
      </c>
      <c r="D118" s="103" t="s">
        <v>116</v>
      </c>
      <c r="E118" s="104" t="s">
        <v>104</v>
      </c>
      <c r="F118" s="103"/>
      <c r="G118" s="103" t="s">
        <v>399</v>
      </c>
      <c r="H118" s="103" t="s">
        <v>400</v>
      </c>
      <c r="I118" s="103" t="s">
        <v>372</v>
      </c>
      <c r="J118" s="199">
        <v>58</v>
      </c>
      <c r="K118" s="103" t="s">
        <v>480</v>
      </c>
      <c r="L118" s="103" t="s">
        <v>658</v>
      </c>
      <c r="M118" s="103" t="s">
        <v>412</v>
      </c>
      <c r="N118" s="103" t="s">
        <v>659</v>
      </c>
    </row>
    <row r="119" spans="1:14" ht="18.75" customHeight="1" x14ac:dyDescent="0.25">
      <c r="A119" s="102">
        <v>11</v>
      </c>
      <c r="B119" s="103" t="s">
        <v>114</v>
      </c>
      <c r="C119" s="103" t="s">
        <v>115</v>
      </c>
      <c r="D119" s="103" t="s">
        <v>116</v>
      </c>
      <c r="E119" s="104" t="s">
        <v>104</v>
      </c>
      <c r="F119" s="103"/>
      <c r="G119" s="103" t="s">
        <v>402</v>
      </c>
      <c r="H119" s="103" t="s">
        <v>403</v>
      </c>
      <c r="I119" s="103" t="s">
        <v>404</v>
      </c>
      <c r="J119" s="199">
        <v>69</v>
      </c>
      <c r="K119" s="103" t="s">
        <v>36</v>
      </c>
      <c r="L119" s="103" t="s">
        <v>663</v>
      </c>
      <c r="M119" s="103" t="s">
        <v>104</v>
      </c>
      <c r="N119" s="103" t="s">
        <v>657</v>
      </c>
    </row>
    <row r="120" spans="1:14" ht="18.75" customHeight="1" x14ac:dyDescent="0.25">
      <c r="A120" s="102">
        <v>12</v>
      </c>
      <c r="B120" s="103" t="s">
        <v>114</v>
      </c>
      <c r="C120" s="103" t="s">
        <v>115</v>
      </c>
      <c r="D120" s="103" t="s">
        <v>116</v>
      </c>
      <c r="E120" s="104" t="s">
        <v>104</v>
      </c>
      <c r="F120" s="103"/>
      <c r="G120" s="103" t="s">
        <v>406</v>
      </c>
      <c r="H120" s="103" t="s">
        <v>407</v>
      </c>
      <c r="I120" s="103" t="s">
        <v>367</v>
      </c>
      <c r="J120" s="199">
        <v>190</v>
      </c>
      <c r="K120" s="103" t="s">
        <v>480</v>
      </c>
      <c r="L120" s="103" t="s">
        <v>658</v>
      </c>
      <c r="M120" s="103" t="s">
        <v>412</v>
      </c>
      <c r="N120" s="103" t="s">
        <v>659</v>
      </c>
    </row>
    <row r="121" spans="1:14" ht="18.75" customHeight="1" x14ac:dyDescent="0.25">
      <c r="A121" s="102">
        <v>13</v>
      </c>
      <c r="B121" s="103" t="s">
        <v>114</v>
      </c>
      <c r="C121" s="103" t="s">
        <v>115</v>
      </c>
      <c r="D121" s="103" t="s">
        <v>116</v>
      </c>
      <c r="E121" s="104" t="s">
        <v>104</v>
      </c>
      <c r="F121" s="103"/>
      <c r="G121" s="103" t="s">
        <v>409</v>
      </c>
      <c r="H121" s="103" t="s">
        <v>410</v>
      </c>
      <c r="I121" s="103" t="s">
        <v>360</v>
      </c>
      <c r="J121" s="199">
        <v>70</v>
      </c>
      <c r="K121" s="103" t="s">
        <v>36</v>
      </c>
      <c r="L121" s="103" t="s">
        <v>664</v>
      </c>
      <c r="M121" s="103" t="s">
        <v>104</v>
      </c>
      <c r="N121" s="103" t="s">
        <v>657</v>
      </c>
    </row>
    <row r="122" spans="1:14" ht="18.75" customHeight="1" x14ac:dyDescent="0.25">
      <c r="A122" s="102">
        <v>14</v>
      </c>
      <c r="B122" s="103" t="s">
        <v>114</v>
      </c>
      <c r="C122" s="103" t="s">
        <v>115</v>
      </c>
      <c r="D122" s="103" t="s">
        <v>116</v>
      </c>
      <c r="E122" s="104" t="s">
        <v>104</v>
      </c>
      <c r="F122" s="103"/>
      <c r="G122" s="103" t="s">
        <v>415</v>
      </c>
      <c r="H122" s="103" t="s">
        <v>416</v>
      </c>
      <c r="I122" s="103" t="s">
        <v>385</v>
      </c>
      <c r="J122" s="199">
        <v>232</v>
      </c>
      <c r="K122" s="103" t="s">
        <v>36</v>
      </c>
      <c r="L122" s="103" t="s">
        <v>665</v>
      </c>
      <c r="M122" s="103" t="s">
        <v>104</v>
      </c>
      <c r="N122" s="103" t="s">
        <v>657</v>
      </c>
    </row>
    <row r="123" spans="1:14" ht="18.75" customHeight="1" x14ac:dyDescent="0.25">
      <c r="A123" s="102">
        <v>15</v>
      </c>
      <c r="B123" s="103" t="s">
        <v>114</v>
      </c>
      <c r="C123" s="103" t="s">
        <v>115</v>
      </c>
      <c r="D123" s="103" t="s">
        <v>116</v>
      </c>
      <c r="E123" s="104" t="s">
        <v>104</v>
      </c>
      <c r="F123" s="103"/>
      <c r="G123" s="103" t="s">
        <v>418</v>
      </c>
      <c r="H123" s="103" t="s">
        <v>419</v>
      </c>
      <c r="I123" s="103" t="s">
        <v>421</v>
      </c>
      <c r="J123" s="199">
        <v>204</v>
      </c>
      <c r="K123" s="103" t="s">
        <v>480</v>
      </c>
      <c r="L123" s="103" t="s">
        <v>658</v>
      </c>
      <c r="M123" s="103" t="s">
        <v>412</v>
      </c>
      <c r="N123" s="103" t="s">
        <v>659</v>
      </c>
    </row>
    <row r="124" spans="1:14" ht="18.75" customHeight="1" x14ac:dyDescent="0.25">
      <c r="A124" s="102">
        <v>16</v>
      </c>
      <c r="B124" s="103" t="s">
        <v>114</v>
      </c>
      <c r="C124" s="103" t="s">
        <v>115</v>
      </c>
      <c r="D124" s="103" t="s">
        <v>116</v>
      </c>
      <c r="E124" s="104" t="s">
        <v>104</v>
      </c>
      <c r="F124" s="103"/>
      <c r="G124" s="103" t="s">
        <v>423</v>
      </c>
      <c r="H124" s="103" t="s">
        <v>424</v>
      </c>
      <c r="I124" s="103" t="s">
        <v>425</v>
      </c>
      <c r="J124" s="199">
        <v>138</v>
      </c>
      <c r="K124" s="103" t="s">
        <v>36</v>
      </c>
      <c r="L124" s="103" t="s">
        <v>666</v>
      </c>
      <c r="M124" s="103" t="s">
        <v>104</v>
      </c>
      <c r="N124" s="103" t="s">
        <v>657</v>
      </c>
    </row>
    <row r="125" spans="1:14" ht="18.75" customHeight="1" x14ac:dyDescent="0.25">
      <c r="A125" s="102">
        <v>17</v>
      </c>
      <c r="B125" s="103" t="s">
        <v>114</v>
      </c>
      <c r="C125" s="103" t="s">
        <v>115</v>
      </c>
      <c r="D125" s="103" t="s">
        <v>116</v>
      </c>
      <c r="E125" s="104" t="s">
        <v>104</v>
      </c>
      <c r="F125" s="103"/>
      <c r="G125" s="103" t="s">
        <v>427</v>
      </c>
      <c r="H125" s="103" t="s">
        <v>428</v>
      </c>
      <c r="I125" s="103" t="s">
        <v>429</v>
      </c>
      <c r="J125" s="199">
        <v>182</v>
      </c>
      <c r="K125" s="103" t="s">
        <v>480</v>
      </c>
      <c r="L125" s="103" t="s">
        <v>658</v>
      </c>
      <c r="M125" s="103" t="s">
        <v>412</v>
      </c>
      <c r="N125" s="103" t="s">
        <v>659</v>
      </c>
    </row>
    <row r="126" spans="1:14" ht="18.75" customHeight="1" x14ac:dyDescent="0.25">
      <c r="A126" s="102">
        <v>18</v>
      </c>
      <c r="B126" s="103" t="s">
        <v>114</v>
      </c>
      <c r="C126" s="103" t="s">
        <v>115</v>
      </c>
      <c r="D126" s="103" t="s">
        <v>116</v>
      </c>
      <c r="E126" s="104" t="s">
        <v>104</v>
      </c>
      <c r="F126" s="103"/>
      <c r="G126" s="103" t="s">
        <v>431</v>
      </c>
      <c r="H126" s="103" t="s">
        <v>432</v>
      </c>
      <c r="I126" s="103" t="s">
        <v>360</v>
      </c>
      <c r="J126" s="199">
        <v>46</v>
      </c>
      <c r="K126" s="103" t="s">
        <v>36</v>
      </c>
      <c r="L126" s="103" t="s">
        <v>667</v>
      </c>
      <c r="M126" s="103" t="s">
        <v>104</v>
      </c>
      <c r="N126" s="103" t="s">
        <v>657</v>
      </c>
    </row>
    <row r="127" spans="1:14" ht="18.75" customHeight="1" x14ac:dyDescent="0.25">
      <c r="A127" s="102">
        <v>19</v>
      </c>
      <c r="B127" s="103" t="s">
        <v>114</v>
      </c>
      <c r="C127" s="103" t="s">
        <v>115</v>
      </c>
      <c r="D127" s="103" t="s">
        <v>116</v>
      </c>
      <c r="E127" s="104" t="s">
        <v>104</v>
      </c>
      <c r="F127" s="103"/>
      <c r="G127" s="103" t="s">
        <v>434</v>
      </c>
      <c r="H127" s="103" t="s">
        <v>435</v>
      </c>
      <c r="I127" s="103" t="s">
        <v>436</v>
      </c>
      <c r="J127" s="199">
        <v>128</v>
      </c>
      <c r="K127" s="103" t="s">
        <v>480</v>
      </c>
      <c r="L127" s="103" t="s">
        <v>658</v>
      </c>
      <c r="M127" s="103" t="s">
        <v>412</v>
      </c>
      <c r="N127" s="103" t="s">
        <v>659</v>
      </c>
    </row>
    <row r="128" spans="1:14" ht="18.75" customHeight="1" x14ac:dyDescent="0.25">
      <c r="A128" s="102">
        <v>20</v>
      </c>
      <c r="B128" s="103" t="s">
        <v>114</v>
      </c>
      <c r="C128" s="103" t="s">
        <v>115</v>
      </c>
      <c r="D128" s="103" t="s">
        <v>116</v>
      </c>
      <c r="E128" s="104" t="s">
        <v>104</v>
      </c>
      <c r="F128" s="103"/>
      <c r="G128" s="103" t="s">
        <v>438</v>
      </c>
      <c r="H128" s="103" t="s">
        <v>439</v>
      </c>
      <c r="I128" s="103" t="s">
        <v>440</v>
      </c>
      <c r="J128" s="199">
        <v>127</v>
      </c>
      <c r="K128" s="103" t="s">
        <v>36</v>
      </c>
      <c r="L128" s="103" t="s">
        <v>668</v>
      </c>
      <c r="M128" s="103" t="s">
        <v>104</v>
      </c>
      <c r="N128" s="103" t="s">
        <v>657</v>
      </c>
    </row>
    <row r="129" spans="1:14" ht="18.75" customHeight="1" x14ac:dyDescent="0.25">
      <c r="A129" s="102">
        <v>21</v>
      </c>
      <c r="B129" s="103" t="s">
        <v>114</v>
      </c>
      <c r="C129" s="103" t="s">
        <v>115</v>
      </c>
      <c r="D129" s="103" t="s">
        <v>116</v>
      </c>
      <c r="E129" s="104" t="s">
        <v>104</v>
      </c>
      <c r="F129" s="103"/>
      <c r="G129" s="103" t="s">
        <v>442</v>
      </c>
      <c r="H129" s="103" t="s">
        <v>443</v>
      </c>
      <c r="I129" s="103" t="s">
        <v>381</v>
      </c>
      <c r="J129" s="199">
        <v>182</v>
      </c>
      <c r="K129" s="103" t="s">
        <v>480</v>
      </c>
      <c r="L129" s="103" t="s">
        <v>658</v>
      </c>
      <c r="M129" s="103" t="s">
        <v>412</v>
      </c>
      <c r="N129" s="103" t="s">
        <v>659</v>
      </c>
    </row>
    <row r="130" spans="1:14" ht="18.75" customHeight="1" x14ac:dyDescent="0.25">
      <c r="A130" s="102">
        <v>22</v>
      </c>
      <c r="B130" s="103" t="s">
        <v>114</v>
      </c>
      <c r="C130" s="103" t="s">
        <v>115</v>
      </c>
      <c r="D130" s="103" t="s">
        <v>116</v>
      </c>
      <c r="E130" s="104" t="s">
        <v>104</v>
      </c>
      <c r="F130" s="103"/>
      <c r="G130" s="103" t="s">
        <v>445</v>
      </c>
      <c r="H130" s="103" t="s">
        <v>446</v>
      </c>
      <c r="I130" s="103" t="s">
        <v>372</v>
      </c>
      <c r="J130" s="199">
        <v>149</v>
      </c>
      <c r="K130" s="103" t="s">
        <v>36</v>
      </c>
      <c r="L130" s="103" t="s">
        <v>669</v>
      </c>
      <c r="M130" s="103" t="s">
        <v>104</v>
      </c>
      <c r="N130" s="103" t="s">
        <v>657</v>
      </c>
    </row>
    <row r="131" spans="1:14" ht="18.75" customHeight="1" x14ac:dyDescent="0.25">
      <c r="A131" s="102">
        <v>23</v>
      </c>
      <c r="B131" s="103" t="s">
        <v>114</v>
      </c>
      <c r="C131" s="103" t="s">
        <v>115</v>
      </c>
      <c r="D131" s="103" t="s">
        <v>116</v>
      </c>
      <c r="E131" s="104" t="s">
        <v>104</v>
      </c>
      <c r="F131" s="103"/>
      <c r="G131" s="103" t="s">
        <v>449</v>
      </c>
      <c r="H131" s="103" t="s">
        <v>450</v>
      </c>
      <c r="I131" s="103" t="s">
        <v>451</v>
      </c>
      <c r="J131" s="199">
        <v>165</v>
      </c>
      <c r="K131" s="103" t="s">
        <v>36</v>
      </c>
      <c r="L131" s="103" t="s">
        <v>670</v>
      </c>
      <c r="M131" s="103" t="s">
        <v>104</v>
      </c>
      <c r="N131" s="103" t="s">
        <v>657</v>
      </c>
    </row>
    <row r="132" spans="1:14" ht="18.75" customHeight="1" x14ac:dyDescent="0.25">
      <c r="A132" s="102">
        <v>24</v>
      </c>
      <c r="B132" s="103" t="s">
        <v>114</v>
      </c>
      <c r="C132" s="103" t="s">
        <v>115</v>
      </c>
      <c r="D132" s="103" t="s">
        <v>116</v>
      </c>
      <c r="E132" s="104" t="s">
        <v>104</v>
      </c>
      <c r="F132" s="103"/>
      <c r="G132" s="103" t="s">
        <v>453</v>
      </c>
      <c r="H132" s="103" t="s">
        <v>454</v>
      </c>
      <c r="I132" s="103" t="s">
        <v>455</v>
      </c>
      <c r="J132" s="199">
        <v>94</v>
      </c>
      <c r="K132" s="103" t="s">
        <v>480</v>
      </c>
      <c r="L132" s="103" t="s">
        <v>658</v>
      </c>
      <c r="M132" s="103" t="s">
        <v>412</v>
      </c>
      <c r="N132" s="103" t="s">
        <v>659</v>
      </c>
    </row>
    <row r="133" spans="1:14" ht="18.75" customHeight="1" x14ac:dyDescent="0.25">
      <c r="A133" s="102">
        <v>25</v>
      </c>
      <c r="B133" s="103" t="s">
        <v>114</v>
      </c>
      <c r="C133" s="103" t="s">
        <v>115</v>
      </c>
      <c r="D133" s="103" t="s">
        <v>116</v>
      </c>
      <c r="E133" s="104" t="s">
        <v>104</v>
      </c>
      <c r="F133" s="103"/>
      <c r="G133" s="103" t="s">
        <v>457</v>
      </c>
      <c r="H133" s="103" t="s">
        <v>458</v>
      </c>
      <c r="I133" s="103" t="s">
        <v>459</v>
      </c>
      <c r="J133" s="199">
        <v>171</v>
      </c>
      <c r="K133" s="103" t="s">
        <v>36</v>
      </c>
      <c r="L133" s="103" t="s">
        <v>671</v>
      </c>
      <c r="M133" s="103" t="s">
        <v>104</v>
      </c>
      <c r="N133" s="103" t="s">
        <v>657</v>
      </c>
    </row>
    <row r="134" spans="1:14" ht="18.75" customHeight="1" x14ac:dyDescent="0.25">
      <c r="A134" s="102" t="s">
        <v>679</v>
      </c>
      <c r="B134" s="103" t="s">
        <v>114</v>
      </c>
      <c r="C134" s="103" t="s">
        <v>115</v>
      </c>
      <c r="D134" s="103" t="s">
        <v>116</v>
      </c>
      <c r="E134" s="104" t="s">
        <v>104</v>
      </c>
      <c r="F134" s="103"/>
      <c r="G134" s="103" t="s">
        <v>680</v>
      </c>
      <c r="H134" s="103" t="s">
        <v>446</v>
      </c>
      <c r="I134" s="103" t="s">
        <v>389</v>
      </c>
      <c r="J134" s="199">
        <v>32</v>
      </c>
      <c r="K134" s="103"/>
      <c r="L134" s="103"/>
      <c r="M134" s="103"/>
      <c r="N134" s="103"/>
    </row>
    <row r="135" spans="1:14" ht="18.75" customHeight="1" x14ac:dyDescent="0.25">
      <c r="A135" s="102">
        <v>1</v>
      </c>
      <c r="B135" s="103" t="s">
        <v>117</v>
      </c>
      <c r="C135" s="103" t="s">
        <v>118</v>
      </c>
      <c r="D135" s="103" t="s">
        <v>116</v>
      </c>
      <c r="E135" s="104" t="s">
        <v>104</v>
      </c>
      <c r="F135" s="103"/>
      <c r="G135" s="103" t="s">
        <v>353</v>
      </c>
      <c r="H135" s="103" t="s">
        <v>354</v>
      </c>
      <c r="I135" s="103" t="s">
        <v>360</v>
      </c>
      <c r="J135" s="199">
        <v>26</v>
      </c>
      <c r="K135" s="103" t="s">
        <v>36</v>
      </c>
      <c r="L135" s="103" t="s">
        <v>656</v>
      </c>
      <c r="M135" s="103" t="s">
        <v>104</v>
      </c>
      <c r="N135" s="103" t="s">
        <v>657</v>
      </c>
    </row>
    <row r="136" spans="1:14" ht="18.75" customHeight="1" x14ac:dyDescent="0.25">
      <c r="A136" s="102">
        <v>2</v>
      </c>
      <c r="B136" s="103" t="s">
        <v>117</v>
      </c>
      <c r="C136" s="103" t="s">
        <v>118</v>
      </c>
      <c r="D136" s="103" t="s">
        <v>116</v>
      </c>
      <c r="E136" s="104" t="s">
        <v>104</v>
      </c>
      <c r="F136" s="103"/>
      <c r="G136" s="103" t="s">
        <v>363</v>
      </c>
      <c r="H136" s="103" t="s">
        <v>364</v>
      </c>
      <c r="I136" s="103" t="s">
        <v>367</v>
      </c>
      <c r="J136" s="199">
        <v>28</v>
      </c>
      <c r="K136" s="103" t="s">
        <v>480</v>
      </c>
      <c r="L136" s="103" t="s">
        <v>658</v>
      </c>
      <c r="M136" s="103" t="s">
        <v>412</v>
      </c>
      <c r="N136" s="103" t="s">
        <v>659</v>
      </c>
    </row>
    <row r="137" spans="1:14" ht="18.75" customHeight="1" x14ac:dyDescent="0.25">
      <c r="A137" s="102">
        <v>3</v>
      </c>
      <c r="B137" s="103" t="s">
        <v>117</v>
      </c>
      <c r="C137" s="103" t="s">
        <v>118</v>
      </c>
      <c r="D137" s="103" t="s">
        <v>116</v>
      </c>
      <c r="E137" s="104" t="s">
        <v>104</v>
      </c>
      <c r="F137" s="103"/>
      <c r="G137" s="103" t="s">
        <v>369</v>
      </c>
      <c r="H137" s="103" t="s">
        <v>370</v>
      </c>
      <c r="I137" s="103" t="s">
        <v>372</v>
      </c>
      <c r="J137" s="199">
        <v>8</v>
      </c>
      <c r="K137" s="103" t="s">
        <v>480</v>
      </c>
      <c r="L137" s="103" t="s">
        <v>658</v>
      </c>
      <c r="M137" s="103" t="s">
        <v>412</v>
      </c>
      <c r="N137" s="103" t="s">
        <v>659</v>
      </c>
    </row>
    <row r="138" spans="1:14" ht="4.5" customHeight="1" x14ac:dyDescent="0.25">
      <c r="A138" s="105">
        <v>4</v>
      </c>
      <c r="B138" s="105" t="s">
        <v>117</v>
      </c>
      <c r="C138" s="105" t="s">
        <v>118</v>
      </c>
      <c r="D138" s="105" t="s">
        <v>116</v>
      </c>
      <c r="E138" s="105" t="s">
        <v>104</v>
      </c>
      <c r="F138" s="105"/>
      <c r="G138" s="105" t="s">
        <v>374</v>
      </c>
      <c r="H138" s="105" t="s">
        <v>375</v>
      </c>
      <c r="I138" s="105" t="s">
        <v>377</v>
      </c>
      <c r="J138" s="201">
        <v>26</v>
      </c>
      <c r="K138" s="105" t="s">
        <v>36</v>
      </c>
      <c r="L138" s="105" t="s">
        <v>660</v>
      </c>
      <c r="M138" s="105" t="s">
        <v>104</v>
      </c>
      <c r="N138" s="105" t="s">
        <v>657</v>
      </c>
    </row>
    <row r="139" spans="1:14" ht="19.5" customHeight="1" x14ac:dyDescent="0.25">
      <c r="A139" s="259" t="s">
        <v>679</v>
      </c>
      <c r="B139" s="260"/>
      <c r="C139" s="260"/>
      <c r="D139" s="260"/>
      <c r="E139" s="260"/>
      <c r="F139" s="260"/>
      <c r="G139" s="260"/>
      <c r="H139" s="260"/>
      <c r="I139" s="260"/>
      <c r="J139" s="260"/>
      <c r="K139" s="260"/>
      <c r="L139" s="260"/>
      <c r="M139" s="260"/>
      <c r="N139" s="261"/>
    </row>
    <row r="140" spans="1:14" ht="18.75" customHeight="1" x14ac:dyDescent="0.25">
      <c r="A140" s="34">
        <v>6</v>
      </c>
      <c r="B140" s="35" t="s">
        <v>117</v>
      </c>
      <c r="C140" s="35" t="s">
        <v>118</v>
      </c>
      <c r="D140" s="35" t="s">
        <v>116</v>
      </c>
      <c r="E140" s="101" t="s">
        <v>104</v>
      </c>
      <c r="F140" s="35"/>
      <c r="G140" s="35" t="s">
        <v>383</v>
      </c>
      <c r="H140" s="35" t="s">
        <v>384</v>
      </c>
      <c r="I140" s="35" t="s">
        <v>385</v>
      </c>
      <c r="J140" s="198">
        <v>22</v>
      </c>
      <c r="K140" s="35" t="s">
        <v>36</v>
      </c>
      <c r="L140" s="35" t="s">
        <v>661</v>
      </c>
      <c r="M140" s="35" t="s">
        <v>104</v>
      </c>
      <c r="N140" s="35" t="s">
        <v>657</v>
      </c>
    </row>
    <row r="141" spans="1:14" ht="18.75" customHeight="1" x14ac:dyDescent="0.25">
      <c r="A141" s="106">
        <v>7</v>
      </c>
      <c r="B141" s="107" t="s">
        <v>117</v>
      </c>
      <c r="C141" s="107" t="s">
        <v>118</v>
      </c>
      <c r="D141" s="107" t="s">
        <v>116</v>
      </c>
      <c r="E141" s="108" t="s">
        <v>104</v>
      </c>
      <c r="F141" s="107"/>
      <c r="G141" s="107" t="s">
        <v>387</v>
      </c>
      <c r="H141" s="107" t="s">
        <v>388</v>
      </c>
      <c r="I141" s="107" t="s">
        <v>389</v>
      </c>
      <c r="J141" s="200">
        <v>29</v>
      </c>
      <c r="K141" s="107" t="s">
        <v>480</v>
      </c>
      <c r="L141" s="107" t="s">
        <v>658</v>
      </c>
      <c r="M141" s="107" t="s">
        <v>412</v>
      </c>
      <c r="N141" s="107" t="s">
        <v>659</v>
      </c>
    </row>
    <row r="142" spans="1:14" ht="18.75" customHeight="1" x14ac:dyDescent="0.25">
      <c r="A142" s="106">
        <v>8</v>
      </c>
      <c r="B142" s="107" t="s">
        <v>117</v>
      </c>
      <c r="C142" s="107" t="s">
        <v>118</v>
      </c>
      <c r="D142" s="107" t="s">
        <v>116</v>
      </c>
      <c r="E142" s="108" t="s">
        <v>104</v>
      </c>
      <c r="F142" s="107"/>
      <c r="G142" s="107" t="s">
        <v>391</v>
      </c>
      <c r="H142" s="107" t="s">
        <v>392</v>
      </c>
      <c r="I142" s="107" t="s">
        <v>393</v>
      </c>
      <c r="J142" s="200">
        <v>13</v>
      </c>
      <c r="K142" s="107" t="s">
        <v>480</v>
      </c>
      <c r="L142" s="107" t="s">
        <v>658</v>
      </c>
      <c r="M142" s="107" t="s">
        <v>412</v>
      </c>
      <c r="N142" s="107" t="s">
        <v>659</v>
      </c>
    </row>
    <row r="143" spans="1:14" ht="18.75" customHeight="1" x14ac:dyDescent="0.25">
      <c r="A143" s="106">
        <v>9</v>
      </c>
      <c r="B143" s="107" t="s">
        <v>117</v>
      </c>
      <c r="C143" s="107" t="s">
        <v>118</v>
      </c>
      <c r="D143" s="107" t="s">
        <v>116</v>
      </c>
      <c r="E143" s="108" t="s">
        <v>104</v>
      </c>
      <c r="F143" s="107"/>
      <c r="G143" s="107" t="s">
        <v>395</v>
      </c>
      <c r="H143" s="107" t="s">
        <v>396</v>
      </c>
      <c r="I143" s="107" t="s">
        <v>360</v>
      </c>
      <c r="J143" s="200">
        <v>29</v>
      </c>
      <c r="K143" s="107" t="s">
        <v>36</v>
      </c>
      <c r="L143" s="107" t="s">
        <v>662</v>
      </c>
      <c r="M143" s="107" t="s">
        <v>104</v>
      </c>
      <c r="N143" s="107" t="s">
        <v>657</v>
      </c>
    </row>
    <row r="144" spans="1:14" ht="18.75" customHeight="1" x14ac:dyDescent="0.25">
      <c r="A144" s="106">
        <v>10</v>
      </c>
      <c r="B144" s="107" t="s">
        <v>117</v>
      </c>
      <c r="C144" s="107" t="s">
        <v>118</v>
      </c>
      <c r="D144" s="107" t="s">
        <v>116</v>
      </c>
      <c r="E144" s="108" t="s">
        <v>104</v>
      </c>
      <c r="F144" s="107"/>
      <c r="G144" s="107" t="s">
        <v>399</v>
      </c>
      <c r="H144" s="107" t="s">
        <v>400</v>
      </c>
      <c r="I144" s="107" t="s">
        <v>372</v>
      </c>
      <c r="J144" s="200">
        <v>25</v>
      </c>
      <c r="K144" s="107" t="s">
        <v>480</v>
      </c>
      <c r="L144" s="107" t="s">
        <v>658</v>
      </c>
      <c r="M144" s="107" t="s">
        <v>412</v>
      </c>
      <c r="N144" s="107" t="s">
        <v>659</v>
      </c>
    </row>
    <row r="145" spans="1:14" ht="18.75" customHeight="1" x14ac:dyDescent="0.25">
      <c r="A145" s="106">
        <v>11</v>
      </c>
      <c r="B145" s="107" t="s">
        <v>117</v>
      </c>
      <c r="C145" s="107" t="s">
        <v>118</v>
      </c>
      <c r="D145" s="107" t="s">
        <v>116</v>
      </c>
      <c r="E145" s="108" t="s">
        <v>104</v>
      </c>
      <c r="F145" s="107"/>
      <c r="G145" s="107" t="s">
        <v>402</v>
      </c>
      <c r="H145" s="107" t="s">
        <v>403</v>
      </c>
      <c r="I145" s="107" t="s">
        <v>404</v>
      </c>
      <c r="J145" s="200">
        <v>15</v>
      </c>
      <c r="K145" s="107" t="s">
        <v>36</v>
      </c>
      <c r="L145" s="107" t="s">
        <v>663</v>
      </c>
      <c r="M145" s="107" t="s">
        <v>104</v>
      </c>
      <c r="N145" s="107" t="s">
        <v>657</v>
      </c>
    </row>
    <row r="146" spans="1:14" ht="18.75" customHeight="1" x14ac:dyDescent="0.25">
      <c r="A146" s="106">
        <v>12</v>
      </c>
      <c r="B146" s="107" t="s">
        <v>117</v>
      </c>
      <c r="C146" s="107" t="s">
        <v>118</v>
      </c>
      <c r="D146" s="107" t="s">
        <v>116</v>
      </c>
      <c r="E146" s="108" t="s">
        <v>104</v>
      </c>
      <c r="F146" s="107"/>
      <c r="G146" s="107" t="s">
        <v>406</v>
      </c>
      <c r="H146" s="107" t="s">
        <v>407</v>
      </c>
      <c r="I146" s="107" t="s">
        <v>367</v>
      </c>
      <c r="J146" s="200">
        <v>8</v>
      </c>
      <c r="K146" s="107" t="s">
        <v>480</v>
      </c>
      <c r="L146" s="107" t="s">
        <v>658</v>
      </c>
      <c r="M146" s="107" t="s">
        <v>412</v>
      </c>
      <c r="N146" s="107" t="s">
        <v>659</v>
      </c>
    </row>
    <row r="147" spans="1:14" ht="18.75" customHeight="1" x14ac:dyDescent="0.25">
      <c r="A147" s="106">
        <v>13</v>
      </c>
      <c r="B147" s="107" t="s">
        <v>117</v>
      </c>
      <c r="C147" s="107" t="s">
        <v>118</v>
      </c>
      <c r="D147" s="107" t="s">
        <v>116</v>
      </c>
      <c r="E147" s="108" t="s">
        <v>104</v>
      </c>
      <c r="F147" s="107"/>
      <c r="G147" s="107" t="s">
        <v>409</v>
      </c>
      <c r="H147" s="107" t="s">
        <v>410</v>
      </c>
      <c r="I147" s="107" t="s">
        <v>360</v>
      </c>
      <c r="J147" s="200">
        <v>14</v>
      </c>
      <c r="K147" s="107" t="s">
        <v>36</v>
      </c>
      <c r="L147" s="107" t="s">
        <v>664</v>
      </c>
      <c r="M147" s="107" t="s">
        <v>104</v>
      </c>
      <c r="N147" s="107" t="s">
        <v>657</v>
      </c>
    </row>
    <row r="148" spans="1:14" ht="18.75" customHeight="1" x14ac:dyDescent="0.25">
      <c r="A148" s="106">
        <v>14</v>
      </c>
      <c r="B148" s="107" t="s">
        <v>117</v>
      </c>
      <c r="C148" s="107" t="s">
        <v>118</v>
      </c>
      <c r="D148" s="107" t="s">
        <v>116</v>
      </c>
      <c r="E148" s="108" t="s">
        <v>104</v>
      </c>
      <c r="F148" s="107"/>
      <c r="G148" s="107" t="s">
        <v>415</v>
      </c>
      <c r="H148" s="107" t="s">
        <v>416</v>
      </c>
      <c r="I148" s="107" t="s">
        <v>385</v>
      </c>
      <c r="J148" s="200">
        <v>18</v>
      </c>
      <c r="K148" s="107" t="s">
        <v>36</v>
      </c>
      <c r="L148" s="107" t="s">
        <v>665</v>
      </c>
      <c r="M148" s="107" t="s">
        <v>104</v>
      </c>
      <c r="N148" s="107" t="s">
        <v>657</v>
      </c>
    </row>
    <row r="149" spans="1:14" ht="18.75" customHeight="1" x14ac:dyDescent="0.25">
      <c r="A149" s="106">
        <v>15</v>
      </c>
      <c r="B149" s="107" t="s">
        <v>117</v>
      </c>
      <c r="C149" s="107" t="s">
        <v>118</v>
      </c>
      <c r="D149" s="107" t="s">
        <v>116</v>
      </c>
      <c r="E149" s="108" t="s">
        <v>104</v>
      </c>
      <c r="F149" s="107"/>
      <c r="G149" s="107" t="s">
        <v>418</v>
      </c>
      <c r="H149" s="107" t="s">
        <v>419</v>
      </c>
      <c r="I149" s="107" t="s">
        <v>421</v>
      </c>
      <c r="J149" s="200">
        <v>10</v>
      </c>
      <c r="K149" s="107" t="s">
        <v>480</v>
      </c>
      <c r="L149" s="107" t="s">
        <v>658</v>
      </c>
      <c r="M149" s="107" t="s">
        <v>412</v>
      </c>
      <c r="N149" s="107" t="s">
        <v>659</v>
      </c>
    </row>
    <row r="150" spans="1:14" ht="18.75" customHeight="1" x14ac:dyDescent="0.25">
      <c r="A150" s="106">
        <v>16</v>
      </c>
      <c r="B150" s="107" t="s">
        <v>117</v>
      </c>
      <c r="C150" s="107" t="s">
        <v>118</v>
      </c>
      <c r="D150" s="107" t="s">
        <v>116</v>
      </c>
      <c r="E150" s="108" t="s">
        <v>104</v>
      </c>
      <c r="F150" s="107"/>
      <c r="G150" s="107" t="s">
        <v>423</v>
      </c>
      <c r="H150" s="107" t="s">
        <v>424</v>
      </c>
      <c r="I150" s="107" t="s">
        <v>425</v>
      </c>
      <c r="J150" s="200">
        <v>19</v>
      </c>
      <c r="K150" s="107" t="s">
        <v>36</v>
      </c>
      <c r="L150" s="107" t="s">
        <v>666</v>
      </c>
      <c r="M150" s="107" t="s">
        <v>104</v>
      </c>
      <c r="N150" s="107" t="s">
        <v>657</v>
      </c>
    </row>
    <row r="151" spans="1:14" ht="18.75" customHeight="1" x14ac:dyDescent="0.25">
      <c r="A151" s="106">
        <v>17</v>
      </c>
      <c r="B151" s="107" t="s">
        <v>117</v>
      </c>
      <c r="C151" s="107" t="s">
        <v>118</v>
      </c>
      <c r="D151" s="107" t="s">
        <v>116</v>
      </c>
      <c r="E151" s="108" t="s">
        <v>104</v>
      </c>
      <c r="F151" s="107"/>
      <c r="G151" s="107" t="s">
        <v>427</v>
      </c>
      <c r="H151" s="107" t="s">
        <v>428</v>
      </c>
      <c r="I151" s="107" t="s">
        <v>429</v>
      </c>
      <c r="J151" s="200">
        <v>5</v>
      </c>
      <c r="K151" s="107" t="s">
        <v>480</v>
      </c>
      <c r="L151" s="107" t="s">
        <v>658</v>
      </c>
      <c r="M151" s="107" t="s">
        <v>412</v>
      </c>
      <c r="N151" s="107" t="s">
        <v>659</v>
      </c>
    </row>
    <row r="152" spans="1:14" ht="18.75" customHeight="1" x14ac:dyDescent="0.25">
      <c r="A152" s="106">
        <v>18</v>
      </c>
      <c r="B152" s="107" t="s">
        <v>117</v>
      </c>
      <c r="C152" s="107" t="s">
        <v>118</v>
      </c>
      <c r="D152" s="107" t="s">
        <v>116</v>
      </c>
      <c r="E152" s="108" t="s">
        <v>104</v>
      </c>
      <c r="F152" s="107"/>
      <c r="G152" s="107" t="s">
        <v>431</v>
      </c>
      <c r="H152" s="107" t="s">
        <v>432</v>
      </c>
      <c r="I152" s="107" t="s">
        <v>360</v>
      </c>
      <c r="J152" s="200">
        <v>28</v>
      </c>
      <c r="K152" s="107" t="s">
        <v>36</v>
      </c>
      <c r="L152" s="107" t="s">
        <v>667</v>
      </c>
      <c r="M152" s="107" t="s">
        <v>104</v>
      </c>
      <c r="N152" s="107" t="s">
        <v>657</v>
      </c>
    </row>
    <row r="153" spans="1:14" ht="18.75" customHeight="1" x14ac:dyDescent="0.25">
      <c r="A153" s="106">
        <v>19</v>
      </c>
      <c r="B153" s="107" t="s">
        <v>117</v>
      </c>
      <c r="C153" s="107" t="s">
        <v>118</v>
      </c>
      <c r="D153" s="107" t="s">
        <v>116</v>
      </c>
      <c r="E153" s="108" t="s">
        <v>104</v>
      </c>
      <c r="F153" s="107"/>
      <c r="G153" s="107" t="s">
        <v>434</v>
      </c>
      <c r="H153" s="107" t="s">
        <v>435</v>
      </c>
      <c r="I153" s="107" t="s">
        <v>436</v>
      </c>
      <c r="J153" s="200">
        <v>28</v>
      </c>
      <c r="K153" s="107" t="s">
        <v>480</v>
      </c>
      <c r="L153" s="107" t="s">
        <v>658</v>
      </c>
      <c r="M153" s="107" t="s">
        <v>412</v>
      </c>
      <c r="N153" s="107" t="s">
        <v>659</v>
      </c>
    </row>
    <row r="154" spans="1:14" ht="18.75" customHeight="1" x14ac:dyDescent="0.25">
      <c r="A154" s="106">
        <v>20</v>
      </c>
      <c r="B154" s="107" t="s">
        <v>117</v>
      </c>
      <c r="C154" s="107" t="s">
        <v>118</v>
      </c>
      <c r="D154" s="107" t="s">
        <v>116</v>
      </c>
      <c r="E154" s="108" t="s">
        <v>104</v>
      </c>
      <c r="F154" s="107"/>
      <c r="G154" s="107" t="s">
        <v>438</v>
      </c>
      <c r="H154" s="107" t="s">
        <v>439</v>
      </c>
      <c r="I154" s="107" t="s">
        <v>440</v>
      </c>
      <c r="J154" s="200">
        <v>13</v>
      </c>
      <c r="K154" s="107" t="s">
        <v>36</v>
      </c>
      <c r="L154" s="107" t="s">
        <v>668</v>
      </c>
      <c r="M154" s="107" t="s">
        <v>104</v>
      </c>
      <c r="N154" s="107" t="s">
        <v>657</v>
      </c>
    </row>
    <row r="155" spans="1:14" ht="18.75" customHeight="1" x14ac:dyDescent="0.25">
      <c r="A155" s="106">
        <v>21</v>
      </c>
      <c r="B155" s="107" t="s">
        <v>117</v>
      </c>
      <c r="C155" s="107" t="s">
        <v>118</v>
      </c>
      <c r="D155" s="107" t="s">
        <v>116</v>
      </c>
      <c r="E155" s="108" t="s">
        <v>104</v>
      </c>
      <c r="F155" s="107"/>
      <c r="G155" s="107" t="s">
        <v>442</v>
      </c>
      <c r="H155" s="107" t="s">
        <v>443</v>
      </c>
      <c r="I155" s="107" t="s">
        <v>381</v>
      </c>
      <c r="J155" s="200">
        <v>21</v>
      </c>
      <c r="K155" s="107" t="s">
        <v>480</v>
      </c>
      <c r="L155" s="107" t="s">
        <v>658</v>
      </c>
      <c r="M155" s="107" t="s">
        <v>412</v>
      </c>
      <c r="N155" s="107" t="s">
        <v>659</v>
      </c>
    </row>
    <row r="156" spans="1:14" ht="18.75" customHeight="1" x14ac:dyDescent="0.25">
      <c r="A156" s="106">
        <v>22</v>
      </c>
      <c r="B156" s="107" t="s">
        <v>117</v>
      </c>
      <c r="C156" s="107" t="s">
        <v>118</v>
      </c>
      <c r="D156" s="107" t="s">
        <v>116</v>
      </c>
      <c r="E156" s="108" t="s">
        <v>104</v>
      </c>
      <c r="F156" s="107"/>
      <c r="G156" s="107" t="s">
        <v>445</v>
      </c>
      <c r="H156" s="107" t="s">
        <v>446</v>
      </c>
      <c r="I156" s="107" t="s">
        <v>372</v>
      </c>
      <c r="J156" s="200">
        <v>29</v>
      </c>
      <c r="K156" s="107" t="s">
        <v>36</v>
      </c>
      <c r="L156" s="107" t="s">
        <v>669</v>
      </c>
      <c r="M156" s="107" t="s">
        <v>104</v>
      </c>
      <c r="N156" s="107" t="s">
        <v>657</v>
      </c>
    </row>
    <row r="157" spans="1:14" ht="18.75" customHeight="1" x14ac:dyDescent="0.25">
      <c r="A157" s="106">
        <v>23</v>
      </c>
      <c r="B157" s="107" t="s">
        <v>117</v>
      </c>
      <c r="C157" s="107" t="s">
        <v>118</v>
      </c>
      <c r="D157" s="107" t="s">
        <v>116</v>
      </c>
      <c r="E157" s="108" t="s">
        <v>104</v>
      </c>
      <c r="F157" s="107"/>
      <c r="G157" s="107" t="s">
        <v>449</v>
      </c>
      <c r="H157" s="107" t="s">
        <v>450</v>
      </c>
      <c r="I157" s="107" t="s">
        <v>451</v>
      </c>
      <c r="J157" s="200">
        <v>10</v>
      </c>
      <c r="K157" s="107" t="s">
        <v>36</v>
      </c>
      <c r="L157" s="107" t="s">
        <v>670</v>
      </c>
      <c r="M157" s="107" t="s">
        <v>104</v>
      </c>
      <c r="N157" s="107" t="s">
        <v>657</v>
      </c>
    </row>
    <row r="158" spans="1:14" ht="18.75" customHeight="1" x14ac:dyDescent="0.25">
      <c r="A158" s="106">
        <v>24</v>
      </c>
      <c r="B158" s="107" t="s">
        <v>117</v>
      </c>
      <c r="C158" s="107" t="s">
        <v>118</v>
      </c>
      <c r="D158" s="107" t="s">
        <v>116</v>
      </c>
      <c r="E158" s="108" t="s">
        <v>104</v>
      </c>
      <c r="F158" s="107"/>
      <c r="G158" s="107" t="s">
        <v>453</v>
      </c>
      <c r="H158" s="107" t="s">
        <v>454</v>
      </c>
      <c r="I158" s="107" t="s">
        <v>455</v>
      </c>
      <c r="J158" s="200">
        <v>21</v>
      </c>
      <c r="K158" s="107" t="s">
        <v>480</v>
      </c>
      <c r="L158" s="107" t="s">
        <v>658</v>
      </c>
      <c r="M158" s="107" t="s">
        <v>412</v>
      </c>
      <c r="N158" s="107" t="s">
        <v>659</v>
      </c>
    </row>
    <row r="159" spans="1:14" ht="18.75" customHeight="1" x14ac:dyDescent="0.25">
      <c r="A159" s="106">
        <v>25</v>
      </c>
      <c r="B159" s="107" t="s">
        <v>117</v>
      </c>
      <c r="C159" s="107" t="s">
        <v>118</v>
      </c>
      <c r="D159" s="107" t="s">
        <v>116</v>
      </c>
      <c r="E159" s="108" t="s">
        <v>104</v>
      </c>
      <c r="F159" s="107"/>
      <c r="G159" s="107" t="s">
        <v>457</v>
      </c>
      <c r="H159" s="107" t="s">
        <v>458</v>
      </c>
      <c r="I159" s="107" t="s">
        <v>459</v>
      </c>
      <c r="J159" s="200">
        <v>8</v>
      </c>
      <c r="K159" s="107" t="s">
        <v>36</v>
      </c>
      <c r="L159" s="107" t="s">
        <v>671</v>
      </c>
      <c r="M159" s="107" t="s">
        <v>104</v>
      </c>
      <c r="N159" s="107" t="s">
        <v>657</v>
      </c>
    </row>
    <row r="160" spans="1:14" ht="18.75" customHeight="1" x14ac:dyDescent="0.25">
      <c r="A160" s="106" t="s">
        <v>681</v>
      </c>
      <c r="B160" s="107" t="s">
        <v>117</v>
      </c>
      <c r="C160" s="107" t="s">
        <v>118</v>
      </c>
      <c r="D160" s="107" t="s">
        <v>116</v>
      </c>
      <c r="E160" s="108" t="s">
        <v>104</v>
      </c>
      <c r="F160" s="107"/>
      <c r="G160" s="107" t="s">
        <v>682</v>
      </c>
      <c r="H160" s="107" t="s">
        <v>443</v>
      </c>
      <c r="I160" s="107" t="s">
        <v>389</v>
      </c>
      <c r="J160" s="200">
        <v>25</v>
      </c>
      <c r="K160" s="107"/>
      <c r="L160" s="107"/>
      <c r="M160" s="107"/>
      <c r="N160" s="107"/>
    </row>
    <row r="161" spans="1:14" ht="18.75" customHeight="1" x14ac:dyDescent="0.25">
      <c r="A161" s="106">
        <v>1</v>
      </c>
      <c r="B161" s="107" t="s">
        <v>119</v>
      </c>
      <c r="C161" s="107" t="s">
        <v>120</v>
      </c>
      <c r="D161" s="107" t="s">
        <v>122</v>
      </c>
      <c r="E161" s="108" t="s">
        <v>121</v>
      </c>
      <c r="F161" s="107"/>
      <c r="G161" s="107" t="s">
        <v>353</v>
      </c>
      <c r="H161" s="107" t="s">
        <v>354</v>
      </c>
      <c r="I161" s="107" t="s">
        <v>360</v>
      </c>
      <c r="J161" s="200">
        <v>24</v>
      </c>
      <c r="K161" s="107" t="s">
        <v>36</v>
      </c>
      <c r="L161" s="107" t="s">
        <v>656</v>
      </c>
      <c r="M161" s="107" t="s">
        <v>121</v>
      </c>
      <c r="N161" s="107" t="s">
        <v>657</v>
      </c>
    </row>
    <row r="162" spans="1:14" ht="18.75" customHeight="1" x14ac:dyDescent="0.25">
      <c r="A162" s="106">
        <v>2</v>
      </c>
      <c r="B162" s="107" t="s">
        <v>119</v>
      </c>
      <c r="C162" s="107" t="s">
        <v>120</v>
      </c>
      <c r="D162" s="107" t="s">
        <v>122</v>
      </c>
      <c r="E162" s="108" t="s">
        <v>121</v>
      </c>
      <c r="F162" s="107"/>
      <c r="G162" s="107" t="s">
        <v>363</v>
      </c>
      <c r="H162" s="107" t="s">
        <v>364</v>
      </c>
      <c r="I162" s="107" t="s">
        <v>367</v>
      </c>
      <c r="J162" s="200">
        <v>41</v>
      </c>
      <c r="K162" s="107" t="s">
        <v>480</v>
      </c>
      <c r="L162" s="107" t="s">
        <v>658</v>
      </c>
      <c r="M162" s="107" t="s">
        <v>412</v>
      </c>
      <c r="N162" s="107" t="s">
        <v>659</v>
      </c>
    </row>
    <row r="163" spans="1:14" ht="18.75" customHeight="1" x14ac:dyDescent="0.25">
      <c r="A163" s="106">
        <v>3</v>
      </c>
      <c r="B163" s="107" t="s">
        <v>119</v>
      </c>
      <c r="C163" s="107" t="s">
        <v>120</v>
      </c>
      <c r="D163" s="107" t="s">
        <v>122</v>
      </c>
      <c r="E163" s="108" t="s">
        <v>121</v>
      </c>
      <c r="F163" s="107"/>
      <c r="G163" s="107" t="s">
        <v>369</v>
      </c>
      <c r="H163" s="107" t="s">
        <v>370</v>
      </c>
      <c r="I163" s="107" t="s">
        <v>372</v>
      </c>
      <c r="J163" s="200">
        <v>35</v>
      </c>
      <c r="K163" s="107" t="s">
        <v>480</v>
      </c>
      <c r="L163" s="107" t="s">
        <v>658</v>
      </c>
      <c r="M163" s="107" t="s">
        <v>412</v>
      </c>
      <c r="N163" s="107" t="s">
        <v>659</v>
      </c>
    </row>
    <row r="164" spans="1:14" ht="18.75" customHeight="1" x14ac:dyDescent="0.25">
      <c r="A164" s="106">
        <v>4</v>
      </c>
      <c r="B164" s="107" t="s">
        <v>119</v>
      </c>
      <c r="C164" s="107" t="s">
        <v>120</v>
      </c>
      <c r="D164" s="107" t="s">
        <v>122</v>
      </c>
      <c r="E164" s="108" t="s">
        <v>121</v>
      </c>
      <c r="F164" s="107"/>
      <c r="G164" s="107" t="s">
        <v>374</v>
      </c>
      <c r="H164" s="107" t="s">
        <v>375</v>
      </c>
      <c r="I164" s="107" t="s">
        <v>377</v>
      </c>
      <c r="J164" s="200">
        <v>31</v>
      </c>
      <c r="K164" s="107" t="s">
        <v>36</v>
      </c>
      <c r="L164" s="107" t="s">
        <v>660</v>
      </c>
      <c r="M164" s="107" t="s">
        <v>121</v>
      </c>
      <c r="N164" s="107" t="s">
        <v>657</v>
      </c>
    </row>
    <row r="165" spans="1:14" ht="4.5" customHeight="1" x14ac:dyDescent="0.25">
      <c r="A165" s="105">
        <v>5</v>
      </c>
      <c r="B165" s="105" t="s">
        <v>119</v>
      </c>
      <c r="C165" s="105" t="s">
        <v>120</v>
      </c>
      <c r="D165" s="105" t="s">
        <v>122</v>
      </c>
      <c r="E165" s="105" t="s">
        <v>121</v>
      </c>
      <c r="F165" s="105"/>
      <c r="G165" s="105" t="s">
        <v>379</v>
      </c>
      <c r="H165" s="105" t="s">
        <v>380</v>
      </c>
      <c r="I165" s="105" t="s">
        <v>381</v>
      </c>
      <c r="J165" s="201">
        <v>34</v>
      </c>
      <c r="K165" s="105" t="s">
        <v>480</v>
      </c>
      <c r="L165" s="105" t="s">
        <v>658</v>
      </c>
      <c r="M165" s="105" t="s">
        <v>412</v>
      </c>
      <c r="N165" s="105" t="s">
        <v>659</v>
      </c>
    </row>
    <row r="166" spans="1:14" ht="19.5" customHeight="1" x14ac:dyDescent="0.25">
      <c r="A166" s="259" t="s">
        <v>681</v>
      </c>
      <c r="B166" s="260"/>
      <c r="C166" s="260"/>
      <c r="D166" s="260"/>
      <c r="E166" s="260"/>
      <c r="F166" s="260"/>
      <c r="G166" s="260"/>
      <c r="H166" s="260"/>
      <c r="I166" s="260"/>
      <c r="J166" s="260"/>
      <c r="K166" s="260"/>
      <c r="L166" s="260"/>
      <c r="M166" s="260"/>
      <c r="N166" s="261"/>
    </row>
    <row r="167" spans="1:14" ht="18.75" customHeight="1" x14ac:dyDescent="0.25">
      <c r="A167" s="34">
        <v>7</v>
      </c>
      <c r="B167" s="35" t="s">
        <v>119</v>
      </c>
      <c r="C167" s="35" t="s">
        <v>120</v>
      </c>
      <c r="D167" s="35" t="s">
        <v>122</v>
      </c>
      <c r="E167" s="109" t="s">
        <v>121</v>
      </c>
      <c r="F167" s="35"/>
      <c r="G167" s="35" t="s">
        <v>387</v>
      </c>
      <c r="H167" s="35" t="s">
        <v>388</v>
      </c>
      <c r="I167" s="35" t="s">
        <v>389</v>
      </c>
      <c r="J167" s="198">
        <v>21</v>
      </c>
      <c r="K167" s="35" t="s">
        <v>480</v>
      </c>
      <c r="L167" s="35" t="s">
        <v>658</v>
      </c>
      <c r="M167" s="35" t="s">
        <v>412</v>
      </c>
      <c r="N167" s="35" t="s">
        <v>659</v>
      </c>
    </row>
    <row r="168" spans="1:14" ht="18.75" customHeight="1" x14ac:dyDescent="0.25">
      <c r="A168" s="102">
        <v>8</v>
      </c>
      <c r="B168" s="103" t="s">
        <v>119</v>
      </c>
      <c r="C168" s="103" t="s">
        <v>120</v>
      </c>
      <c r="D168" s="103" t="s">
        <v>122</v>
      </c>
      <c r="E168" s="110" t="s">
        <v>121</v>
      </c>
      <c r="F168" s="103"/>
      <c r="G168" s="103" t="s">
        <v>391</v>
      </c>
      <c r="H168" s="103" t="s">
        <v>392</v>
      </c>
      <c r="I168" s="103" t="s">
        <v>393</v>
      </c>
      <c r="J168" s="199">
        <v>19</v>
      </c>
      <c r="K168" s="103" t="s">
        <v>480</v>
      </c>
      <c r="L168" s="103" t="s">
        <v>658</v>
      </c>
      <c r="M168" s="103" t="s">
        <v>412</v>
      </c>
      <c r="N168" s="103" t="s">
        <v>659</v>
      </c>
    </row>
    <row r="169" spans="1:14" ht="18.75" customHeight="1" x14ac:dyDescent="0.25">
      <c r="A169" s="102">
        <v>9</v>
      </c>
      <c r="B169" s="103" t="s">
        <v>119</v>
      </c>
      <c r="C169" s="103" t="s">
        <v>120</v>
      </c>
      <c r="D169" s="103" t="s">
        <v>122</v>
      </c>
      <c r="E169" s="110" t="s">
        <v>121</v>
      </c>
      <c r="F169" s="103"/>
      <c r="G169" s="103" t="s">
        <v>395</v>
      </c>
      <c r="H169" s="103" t="s">
        <v>396</v>
      </c>
      <c r="I169" s="103" t="s">
        <v>360</v>
      </c>
      <c r="J169" s="199">
        <v>26</v>
      </c>
      <c r="K169" s="103" t="s">
        <v>36</v>
      </c>
      <c r="L169" s="103" t="s">
        <v>662</v>
      </c>
      <c r="M169" s="103" t="s">
        <v>121</v>
      </c>
      <c r="N169" s="103" t="s">
        <v>657</v>
      </c>
    </row>
    <row r="170" spans="1:14" ht="18.75" customHeight="1" x14ac:dyDescent="0.25">
      <c r="A170" s="102">
        <v>10</v>
      </c>
      <c r="B170" s="103" t="s">
        <v>119</v>
      </c>
      <c r="C170" s="103" t="s">
        <v>120</v>
      </c>
      <c r="D170" s="103" t="s">
        <v>122</v>
      </c>
      <c r="E170" s="110" t="s">
        <v>121</v>
      </c>
      <c r="F170" s="103"/>
      <c r="G170" s="103" t="s">
        <v>399</v>
      </c>
      <c r="H170" s="103" t="s">
        <v>400</v>
      </c>
      <c r="I170" s="103" t="s">
        <v>372</v>
      </c>
      <c r="J170" s="199">
        <v>39</v>
      </c>
      <c r="K170" s="103" t="s">
        <v>480</v>
      </c>
      <c r="L170" s="103" t="s">
        <v>658</v>
      </c>
      <c r="M170" s="103" t="s">
        <v>412</v>
      </c>
      <c r="N170" s="103" t="s">
        <v>659</v>
      </c>
    </row>
    <row r="171" spans="1:14" ht="18.75" customHeight="1" x14ac:dyDescent="0.25">
      <c r="A171" s="102">
        <v>11</v>
      </c>
      <c r="B171" s="103" t="s">
        <v>119</v>
      </c>
      <c r="C171" s="103" t="s">
        <v>120</v>
      </c>
      <c r="D171" s="103" t="s">
        <v>122</v>
      </c>
      <c r="E171" s="110" t="s">
        <v>121</v>
      </c>
      <c r="F171" s="103"/>
      <c r="G171" s="103" t="s">
        <v>402</v>
      </c>
      <c r="H171" s="103" t="s">
        <v>403</v>
      </c>
      <c r="I171" s="103" t="s">
        <v>404</v>
      </c>
      <c r="J171" s="199">
        <v>20</v>
      </c>
      <c r="K171" s="103" t="s">
        <v>36</v>
      </c>
      <c r="L171" s="103" t="s">
        <v>663</v>
      </c>
      <c r="M171" s="103" t="s">
        <v>121</v>
      </c>
      <c r="N171" s="103" t="s">
        <v>657</v>
      </c>
    </row>
    <row r="172" spans="1:14" ht="18.75" customHeight="1" x14ac:dyDescent="0.25">
      <c r="A172" s="102">
        <v>12</v>
      </c>
      <c r="B172" s="103" t="s">
        <v>119</v>
      </c>
      <c r="C172" s="103" t="s">
        <v>120</v>
      </c>
      <c r="D172" s="103" t="s">
        <v>122</v>
      </c>
      <c r="E172" s="110" t="s">
        <v>121</v>
      </c>
      <c r="F172" s="103"/>
      <c r="G172" s="103" t="s">
        <v>406</v>
      </c>
      <c r="H172" s="103" t="s">
        <v>407</v>
      </c>
      <c r="I172" s="103" t="s">
        <v>367</v>
      </c>
      <c r="J172" s="199">
        <v>32</v>
      </c>
      <c r="K172" s="103" t="s">
        <v>480</v>
      </c>
      <c r="L172" s="103" t="s">
        <v>658</v>
      </c>
      <c r="M172" s="103" t="s">
        <v>412</v>
      </c>
      <c r="N172" s="103" t="s">
        <v>659</v>
      </c>
    </row>
    <row r="173" spans="1:14" ht="18.75" customHeight="1" x14ac:dyDescent="0.25">
      <c r="A173" s="102">
        <v>13</v>
      </c>
      <c r="B173" s="103" t="s">
        <v>119</v>
      </c>
      <c r="C173" s="103" t="s">
        <v>120</v>
      </c>
      <c r="D173" s="103" t="s">
        <v>122</v>
      </c>
      <c r="E173" s="110" t="s">
        <v>121</v>
      </c>
      <c r="F173" s="103"/>
      <c r="G173" s="103" t="s">
        <v>409</v>
      </c>
      <c r="H173" s="103" t="s">
        <v>410</v>
      </c>
      <c r="I173" s="103" t="s">
        <v>360</v>
      </c>
      <c r="J173" s="199">
        <v>45</v>
      </c>
      <c r="K173" s="103" t="s">
        <v>36</v>
      </c>
      <c r="L173" s="103" t="s">
        <v>664</v>
      </c>
      <c r="M173" s="103" t="s">
        <v>121</v>
      </c>
      <c r="N173" s="103" t="s">
        <v>657</v>
      </c>
    </row>
    <row r="174" spans="1:14" ht="18.75" customHeight="1" x14ac:dyDescent="0.25">
      <c r="A174" s="102">
        <v>14</v>
      </c>
      <c r="B174" s="103" t="s">
        <v>119</v>
      </c>
      <c r="C174" s="103" t="s">
        <v>120</v>
      </c>
      <c r="D174" s="103" t="s">
        <v>122</v>
      </c>
      <c r="E174" s="110" t="s">
        <v>121</v>
      </c>
      <c r="F174" s="103"/>
      <c r="G174" s="103" t="s">
        <v>415</v>
      </c>
      <c r="H174" s="103" t="s">
        <v>416</v>
      </c>
      <c r="I174" s="103" t="s">
        <v>385</v>
      </c>
      <c r="J174" s="199">
        <v>39</v>
      </c>
      <c r="K174" s="103" t="s">
        <v>36</v>
      </c>
      <c r="L174" s="103" t="s">
        <v>665</v>
      </c>
      <c r="M174" s="103" t="s">
        <v>121</v>
      </c>
      <c r="N174" s="103" t="s">
        <v>657</v>
      </c>
    </row>
    <row r="175" spans="1:14" ht="18.75" customHeight="1" x14ac:dyDescent="0.25">
      <c r="A175" s="102">
        <v>15</v>
      </c>
      <c r="B175" s="103" t="s">
        <v>119</v>
      </c>
      <c r="C175" s="103" t="s">
        <v>120</v>
      </c>
      <c r="D175" s="103" t="s">
        <v>122</v>
      </c>
      <c r="E175" s="110" t="s">
        <v>121</v>
      </c>
      <c r="F175" s="103"/>
      <c r="G175" s="103" t="s">
        <v>418</v>
      </c>
      <c r="H175" s="103" t="s">
        <v>419</v>
      </c>
      <c r="I175" s="103" t="s">
        <v>421</v>
      </c>
      <c r="J175" s="199">
        <v>44</v>
      </c>
      <c r="K175" s="103" t="s">
        <v>480</v>
      </c>
      <c r="L175" s="103" t="s">
        <v>658</v>
      </c>
      <c r="M175" s="103" t="s">
        <v>412</v>
      </c>
      <c r="N175" s="103" t="s">
        <v>659</v>
      </c>
    </row>
    <row r="176" spans="1:14" ht="18.75" customHeight="1" x14ac:dyDescent="0.25">
      <c r="A176" s="102">
        <v>16</v>
      </c>
      <c r="B176" s="103" t="s">
        <v>119</v>
      </c>
      <c r="C176" s="103" t="s">
        <v>120</v>
      </c>
      <c r="D176" s="103" t="s">
        <v>122</v>
      </c>
      <c r="E176" s="110" t="s">
        <v>121</v>
      </c>
      <c r="F176" s="103"/>
      <c r="G176" s="103" t="s">
        <v>423</v>
      </c>
      <c r="H176" s="103" t="s">
        <v>424</v>
      </c>
      <c r="I176" s="103" t="s">
        <v>425</v>
      </c>
      <c r="J176" s="199">
        <v>31</v>
      </c>
      <c r="K176" s="103" t="s">
        <v>36</v>
      </c>
      <c r="L176" s="103" t="s">
        <v>666</v>
      </c>
      <c r="M176" s="103" t="s">
        <v>121</v>
      </c>
      <c r="N176" s="103" t="s">
        <v>657</v>
      </c>
    </row>
    <row r="177" spans="1:14" ht="18.75" customHeight="1" x14ac:dyDescent="0.25">
      <c r="A177" s="102">
        <v>17</v>
      </c>
      <c r="B177" s="103" t="s">
        <v>119</v>
      </c>
      <c r="C177" s="103" t="s">
        <v>120</v>
      </c>
      <c r="D177" s="103" t="s">
        <v>122</v>
      </c>
      <c r="E177" s="110" t="s">
        <v>121</v>
      </c>
      <c r="F177" s="103"/>
      <c r="G177" s="103" t="s">
        <v>427</v>
      </c>
      <c r="H177" s="103" t="s">
        <v>428</v>
      </c>
      <c r="I177" s="103" t="s">
        <v>429</v>
      </c>
      <c r="J177" s="199">
        <v>44</v>
      </c>
      <c r="K177" s="103" t="s">
        <v>480</v>
      </c>
      <c r="L177" s="103" t="s">
        <v>658</v>
      </c>
      <c r="M177" s="103" t="s">
        <v>412</v>
      </c>
      <c r="N177" s="103" t="s">
        <v>659</v>
      </c>
    </row>
    <row r="178" spans="1:14" ht="18.75" customHeight="1" x14ac:dyDescent="0.25">
      <c r="A178" s="102">
        <v>18</v>
      </c>
      <c r="B178" s="103" t="s">
        <v>119</v>
      </c>
      <c r="C178" s="103" t="s">
        <v>120</v>
      </c>
      <c r="D178" s="103" t="s">
        <v>122</v>
      </c>
      <c r="E178" s="110" t="s">
        <v>121</v>
      </c>
      <c r="F178" s="103"/>
      <c r="G178" s="103" t="s">
        <v>431</v>
      </c>
      <c r="H178" s="103" t="s">
        <v>432</v>
      </c>
      <c r="I178" s="103" t="s">
        <v>360</v>
      </c>
      <c r="J178" s="199">
        <v>15</v>
      </c>
      <c r="K178" s="103" t="s">
        <v>36</v>
      </c>
      <c r="L178" s="103" t="s">
        <v>667</v>
      </c>
      <c r="M178" s="103" t="s">
        <v>121</v>
      </c>
      <c r="N178" s="103" t="s">
        <v>657</v>
      </c>
    </row>
    <row r="179" spans="1:14" ht="18.75" customHeight="1" x14ac:dyDescent="0.25">
      <c r="A179" s="102">
        <v>19</v>
      </c>
      <c r="B179" s="103" t="s">
        <v>119</v>
      </c>
      <c r="C179" s="103" t="s">
        <v>120</v>
      </c>
      <c r="D179" s="103" t="s">
        <v>122</v>
      </c>
      <c r="E179" s="110" t="s">
        <v>121</v>
      </c>
      <c r="F179" s="103"/>
      <c r="G179" s="103" t="s">
        <v>434</v>
      </c>
      <c r="H179" s="103" t="s">
        <v>435</v>
      </c>
      <c r="I179" s="103" t="s">
        <v>436</v>
      </c>
      <c r="J179" s="199">
        <v>34</v>
      </c>
      <c r="K179" s="103" t="s">
        <v>480</v>
      </c>
      <c r="L179" s="103" t="s">
        <v>658</v>
      </c>
      <c r="M179" s="103" t="s">
        <v>412</v>
      </c>
      <c r="N179" s="103" t="s">
        <v>659</v>
      </c>
    </row>
    <row r="180" spans="1:14" ht="18.75" customHeight="1" x14ac:dyDescent="0.25">
      <c r="A180" s="102">
        <v>20</v>
      </c>
      <c r="B180" s="103" t="s">
        <v>119</v>
      </c>
      <c r="C180" s="103" t="s">
        <v>120</v>
      </c>
      <c r="D180" s="103" t="s">
        <v>122</v>
      </c>
      <c r="E180" s="110" t="s">
        <v>121</v>
      </c>
      <c r="F180" s="103"/>
      <c r="G180" s="103" t="s">
        <v>438</v>
      </c>
      <c r="H180" s="103" t="s">
        <v>439</v>
      </c>
      <c r="I180" s="103" t="s">
        <v>440</v>
      </c>
      <c r="J180" s="199">
        <v>25</v>
      </c>
      <c r="K180" s="103" t="s">
        <v>36</v>
      </c>
      <c r="L180" s="103" t="s">
        <v>668</v>
      </c>
      <c r="M180" s="103" t="s">
        <v>121</v>
      </c>
      <c r="N180" s="103" t="s">
        <v>657</v>
      </c>
    </row>
    <row r="181" spans="1:14" ht="18.75" customHeight="1" x14ac:dyDescent="0.25">
      <c r="A181" s="102">
        <v>21</v>
      </c>
      <c r="B181" s="103" t="s">
        <v>119</v>
      </c>
      <c r="C181" s="103" t="s">
        <v>120</v>
      </c>
      <c r="D181" s="103" t="s">
        <v>122</v>
      </c>
      <c r="E181" s="110" t="s">
        <v>121</v>
      </c>
      <c r="F181" s="103"/>
      <c r="G181" s="103" t="s">
        <v>442</v>
      </c>
      <c r="H181" s="103" t="s">
        <v>443</v>
      </c>
      <c r="I181" s="103" t="s">
        <v>381</v>
      </c>
      <c r="J181" s="199">
        <v>30</v>
      </c>
      <c r="K181" s="103" t="s">
        <v>480</v>
      </c>
      <c r="L181" s="103" t="s">
        <v>658</v>
      </c>
      <c r="M181" s="103" t="s">
        <v>412</v>
      </c>
      <c r="N181" s="103" t="s">
        <v>659</v>
      </c>
    </row>
    <row r="182" spans="1:14" ht="18.75" customHeight="1" x14ac:dyDescent="0.25">
      <c r="A182" s="102">
        <v>22</v>
      </c>
      <c r="B182" s="103" t="s">
        <v>119</v>
      </c>
      <c r="C182" s="103" t="s">
        <v>120</v>
      </c>
      <c r="D182" s="103" t="s">
        <v>122</v>
      </c>
      <c r="E182" s="110" t="s">
        <v>121</v>
      </c>
      <c r="F182" s="103"/>
      <c r="G182" s="103" t="s">
        <v>445</v>
      </c>
      <c r="H182" s="103" t="s">
        <v>446</v>
      </c>
      <c r="I182" s="103" t="s">
        <v>372</v>
      </c>
      <c r="J182" s="199">
        <v>15</v>
      </c>
      <c r="K182" s="103" t="s">
        <v>36</v>
      </c>
      <c r="L182" s="103" t="s">
        <v>669</v>
      </c>
      <c r="M182" s="103" t="s">
        <v>121</v>
      </c>
      <c r="N182" s="103" t="s">
        <v>657</v>
      </c>
    </row>
    <row r="183" spans="1:14" ht="18.75" customHeight="1" x14ac:dyDescent="0.25">
      <c r="A183" s="102">
        <v>23</v>
      </c>
      <c r="B183" s="103" t="s">
        <v>119</v>
      </c>
      <c r="C183" s="103" t="s">
        <v>120</v>
      </c>
      <c r="D183" s="103" t="s">
        <v>122</v>
      </c>
      <c r="E183" s="110" t="s">
        <v>121</v>
      </c>
      <c r="F183" s="103"/>
      <c r="G183" s="103" t="s">
        <v>449</v>
      </c>
      <c r="H183" s="103" t="s">
        <v>450</v>
      </c>
      <c r="I183" s="103" t="s">
        <v>451</v>
      </c>
      <c r="J183" s="199">
        <v>18</v>
      </c>
      <c r="K183" s="103" t="s">
        <v>36</v>
      </c>
      <c r="L183" s="103" t="s">
        <v>670</v>
      </c>
      <c r="M183" s="103" t="s">
        <v>121</v>
      </c>
      <c r="N183" s="103" t="s">
        <v>657</v>
      </c>
    </row>
    <row r="184" spans="1:14" ht="18.75" customHeight="1" x14ac:dyDescent="0.25">
      <c r="A184" s="102">
        <v>24</v>
      </c>
      <c r="B184" s="103" t="s">
        <v>119</v>
      </c>
      <c r="C184" s="103" t="s">
        <v>120</v>
      </c>
      <c r="D184" s="103" t="s">
        <v>122</v>
      </c>
      <c r="E184" s="110" t="s">
        <v>121</v>
      </c>
      <c r="F184" s="103"/>
      <c r="G184" s="103" t="s">
        <v>453</v>
      </c>
      <c r="H184" s="103" t="s">
        <v>454</v>
      </c>
      <c r="I184" s="103" t="s">
        <v>455</v>
      </c>
      <c r="J184" s="199">
        <v>44</v>
      </c>
      <c r="K184" s="103" t="s">
        <v>480</v>
      </c>
      <c r="L184" s="103" t="s">
        <v>658</v>
      </c>
      <c r="M184" s="103" t="s">
        <v>412</v>
      </c>
      <c r="N184" s="103" t="s">
        <v>659</v>
      </c>
    </row>
    <row r="185" spans="1:14" ht="18.75" customHeight="1" x14ac:dyDescent="0.25">
      <c r="A185" s="102">
        <v>25</v>
      </c>
      <c r="B185" s="103" t="s">
        <v>119</v>
      </c>
      <c r="C185" s="103" t="s">
        <v>120</v>
      </c>
      <c r="D185" s="103" t="s">
        <v>122</v>
      </c>
      <c r="E185" s="110" t="s">
        <v>121</v>
      </c>
      <c r="F185" s="103"/>
      <c r="G185" s="103" t="s">
        <v>457</v>
      </c>
      <c r="H185" s="103" t="s">
        <v>458</v>
      </c>
      <c r="I185" s="103" t="s">
        <v>459</v>
      </c>
      <c r="J185" s="199">
        <v>26</v>
      </c>
      <c r="K185" s="103" t="s">
        <v>36</v>
      </c>
      <c r="L185" s="103" t="s">
        <v>671</v>
      </c>
      <c r="M185" s="103" t="s">
        <v>121</v>
      </c>
      <c r="N185" s="103" t="s">
        <v>657</v>
      </c>
    </row>
    <row r="186" spans="1:14" ht="18.75" customHeight="1" x14ac:dyDescent="0.25">
      <c r="A186" s="102" t="s">
        <v>683</v>
      </c>
      <c r="B186" s="103" t="s">
        <v>119</v>
      </c>
      <c r="C186" s="103" t="s">
        <v>120</v>
      </c>
      <c r="D186" s="103" t="s">
        <v>122</v>
      </c>
      <c r="E186" s="110" t="s">
        <v>121</v>
      </c>
      <c r="F186" s="103"/>
      <c r="G186" s="103" t="s">
        <v>684</v>
      </c>
      <c r="H186" s="103" t="s">
        <v>439</v>
      </c>
      <c r="I186" s="103" t="s">
        <v>440</v>
      </c>
      <c r="J186" s="199">
        <v>43</v>
      </c>
      <c r="K186" s="103"/>
      <c r="L186" s="103"/>
      <c r="M186" s="103"/>
      <c r="N186" s="103"/>
    </row>
    <row r="187" spans="1:14" ht="18.75" customHeight="1" x14ac:dyDescent="0.25">
      <c r="A187" s="102">
        <v>1</v>
      </c>
      <c r="B187" s="103" t="s">
        <v>123</v>
      </c>
      <c r="C187" s="103" t="s">
        <v>124</v>
      </c>
      <c r="D187" s="103" t="s">
        <v>105</v>
      </c>
      <c r="E187" s="110" t="s">
        <v>104</v>
      </c>
      <c r="F187" s="103"/>
      <c r="G187" s="103" t="s">
        <v>353</v>
      </c>
      <c r="H187" s="103" t="s">
        <v>354</v>
      </c>
      <c r="I187" s="103" t="s">
        <v>360</v>
      </c>
      <c r="J187" s="199">
        <v>217</v>
      </c>
      <c r="K187" s="103" t="s">
        <v>36</v>
      </c>
      <c r="L187" s="103" t="s">
        <v>656</v>
      </c>
      <c r="M187" s="103" t="s">
        <v>104</v>
      </c>
      <c r="N187" s="103" t="s">
        <v>657</v>
      </c>
    </row>
    <row r="188" spans="1:14" ht="18.75" customHeight="1" x14ac:dyDescent="0.25">
      <c r="A188" s="102">
        <v>2</v>
      </c>
      <c r="B188" s="103" t="s">
        <v>123</v>
      </c>
      <c r="C188" s="103" t="s">
        <v>124</v>
      </c>
      <c r="D188" s="103" t="s">
        <v>105</v>
      </c>
      <c r="E188" s="110" t="s">
        <v>104</v>
      </c>
      <c r="F188" s="103"/>
      <c r="G188" s="103" t="s">
        <v>363</v>
      </c>
      <c r="H188" s="103" t="s">
        <v>364</v>
      </c>
      <c r="I188" s="103" t="s">
        <v>367</v>
      </c>
      <c r="J188" s="199">
        <v>182</v>
      </c>
      <c r="K188" s="103" t="s">
        <v>480</v>
      </c>
      <c r="L188" s="103" t="s">
        <v>658</v>
      </c>
      <c r="M188" s="103" t="s">
        <v>412</v>
      </c>
      <c r="N188" s="103" t="s">
        <v>659</v>
      </c>
    </row>
    <row r="189" spans="1:14" ht="18.75" customHeight="1" x14ac:dyDescent="0.25">
      <c r="A189" s="102">
        <v>3</v>
      </c>
      <c r="B189" s="103" t="s">
        <v>123</v>
      </c>
      <c r="C189" s="103" t="s">
        <v>124</v>
      </c>
      <c r="D189" s="103" t="s">
        <v>105</v>
      </c>
      <c r="E189" s="110" t="s">
        <v>104</v>
      </c>
      <c r="F189" s="103"/>
      <c r="G189" s="103" t="s">
        <v>369</v>
      </c>
      <c r="H189" s="103" t="s">
        <v>370</v>
      </c>
      <c r="I189" s="103" t="s">
        <v>372</v>
      </c>
      <c r="J189" s="199">
        <v>89</v>
      </c>
      <c r="K189" s="103" t="s">
        <v>480</v>
      </c>
      <c r="L189" s="103" t="s">
        <v>658</v>
      </c>
      <c r="M189" s="103" t="s">
        <v>412</v>
      </c>
      <c r="N189" s="103" t="s">
        <v>659</v>
      </c>
    </row>
    <row r="190" spans="1:14" ht="18.75" customHeight="1" x14ac:dyDescent="0.25">
      <c r="A190" s="102">
        <v>4</v>
      </c>
      <c r="B190" s="103" t="s">
        <v>123</v>
      </c>
      <c r="C190" s="103" t="s">
        <v>124</v>
      </c>
      <c r="D190" s="103" t="s">
        <v>105</v>
      </c>
      <c r="E190" s="110" t="s">
        <v>104</v>
      </c>
      <c r="F190" s="103"/>
      <c r="G190" s="103" t="s">
        <v>374</v>
      </c>
      <c r="H190" s="103" t="s">
        <v>375</v>
      </c>
      <c r="I190" s="103" t="s">
        <v>377</v>
      </c>
      <c r="J190" s="199">
        <v>183</v>
      </c>
      <c r="K190" s="103" t="s">
        <v>36</v>
      </c>
      <c r="L190" s="103" t="s">
        <v>660</v>
      </c>
      <c r="M190" s="103" t="s">
        <v>104</v>
      </c>
      <c r="N190" s="103" t="s">
        <v>657</v>
      </c>
    </row>
    <row r="191" spans="1:14" ht="18.75" customHeight="1" x14ac:dyDescent="0.25">
      <c r="A191" s="102">
        <v>5</v>
      </c>
      <c r="B191" s="103" t="s">
        <v>123</v>
      </c>
      <c r="C191" s="103" t="s">
        <v>124</v>
      </c>
      <c r="D191" s="103" t="s">
        <v>105</v>
      </c>
      <c r="E191" s="110" t="s">
        <v>104</v>
      </c>
      <c r="F191" s="103"/>
      <c r="G191" s="103" t="s">
        <v>379</v>
      </c>
      <c r="H191" s="103" t="s">
        <v>380</v>
      </c>
      <c r="I191" s="103" t="s">
        <v>381</v>
      </c>
      <c r="J191" s="199">
        <v>350</v>
      </c>
      <c r="K191" s="103" t="s">
        <v>480</v>
      </c>
      <c r="L191" s="103" t="s">
        <v>658</v>
      </c>
      <c r="M191" s="103" t="s">
        <v>412</v>
      </c>
      <c r="N191" s="103" t="s">
        <v>659</v>
      </c>
    </row>
    <row r="192" spans="1:14" ht="4.5" customHeight="1" x14ac:dyDescent="0.25">
      <c r="A192" s="105">
        <v>6</v>
      </c>
      <c r="B192" s="105" t="s">
        <v>123</v>
      </c>
      <c r="C192" s="105" t="s">
        <v>124</v>
      </c>
      <c r="D192" s="105" t="s">
        <v>105</v>
      </c>
      <c r="E192" s="105" t="s">
        <v>104</v>
      </c>
      <c r="F192" s="105"/>
      <c r="G192" s="105" t="s">
        <v>383</v>
      </c>
      <c r="H192" s="105" t="s">
        <v>384</v>
      </c>
      <c r="I192" s="105" t="s">
        <v>385</v>
      </c>
      <c r="J192" s="201">
        <v>100</v>
      </c>
      <c r="K192" s="105" t="s">
        <v>36</v>
      </c>
      <c r="L192" s="105" t="s">
        <v>661</v>
      </c>
      <c r="M192" s="105" t="s">
        <v>104</v>
      </c>
      <c r="N192" s="105" t="s">
        <v>657</v>
      </c>
    </row>
    <row r="193" spans="1:14" ht="19.5" customHeight="1" x14ac:dyDescent="0.25">
      <c r="A193" s="259" t="s">
        <v>683</v>
      </c>
      <c r="B193" s="260"/>
      <c r="C193" s="260"/>
      <c r="D193" s="260"/>
      <c r="E193" s="260"/>
      <c r="F193" s="260"/>
      <c r="G193" s="260"/>
      <c r="H193" s="260"/>
      <c r="I193" s="260"/>
      <c r="J193" s="260"/>
      <c r="K193" s="260"/>
      <c r="L193" s="260"/>
      <c r="M193" s="260"/>
      <c r="N193" s="261"/>
    </row>
    <row r="194" spans="1:14" ht="18.75" customHeight="1" x14ac:dyDescent="0.25">
      <c r="A194" s="34">
        <v>8</v>
      </c>
      <c r="B194" s="35" t="s">
        <v>123</v>
      </c>
      <c r="C194" s="35" t="s">
        <v>124</v>
      </c>
      <c r="D194" s="35" t="s">
        <v>105</v>
      </c>
      <c r="E194" s="101" t="s">
        <v>104</v>
      </c>
      <c r="F194" s="35"/>
      <c r="G194" s="35" t="s">
        <v>391</v>
      </c>
      <c r="H194" s="35" t="s">
        <v>392</v>
      </c>
      <c r="I194" s="35" t="s">
        <v>393</v>
      </c>
      <c r="J194" s="198">
        <v>103</v>
      </c>
      <c r="K194" s="35" t="s">
        <v>480</v>
      </c>
      <c r="L194" s="35" t="s">
        <v>658</v>
      </c>
      <c r="M194" s="35" t="s">
        <v>412</v>
      </c>
      <c r="N194" s="35" t="s">
        <v>659</v>
      </c>
    </row>
    <row r="195" spans="1:14" ht="18.75" customHeight="1" x14ac:dyDescent="0.25">
      <c r="A195" s="106">
        <v>9</v>
      </c>
      <c r="B195" s="107" t="s">
        <v>123</v>
      </c>
      <c r="C195" s="107" t="s">
        <v>124</v>
      </c>
      <c r="D195" s="107" t="s">
        <v>105</v>
      </c>
      <c r="E195" s="108" t="s">
        <v>104</v>
      </c>
      <c r="F195" s="107"/>
      <c r="G195" s="107" t="s">
        <v>395</v>
      </c>
      <c r="H195" s="107" t="s">
        <v>396</v>
      </c>
      <c r="I195" s="107" t="s">
        <v>360</v>
      </c>
      <c r="J195" s="200">
        <v>308</v>
      </c>
      <c r="K195" s="107" t="s">
        <v>36</v>
      </c>
      <c r="L195" s="107" t="s">
        <v>662</v>
      </c>
      <c r="M195" s="107" t="s">
        <v>104</v>
      </c>
      <c r="N195" s="107" t="s">
        <v>657</v>
      </c>
    </row>
    <row r="196" spans="1:14" ht="18.75" customHeight="1" x14ac:dyDescent="0.25">
      <c r="A196" s="106">
        <v>10</v>
      </c>
      <c r="B196" s="107" t="s">
        <v>123</v>
      </c>
      <c r="C196" s="107" t="s">
        <v>124</v>
      </c>
      <c r="D196" s="107" t="s">
        <v>105</v>
      </c>
      <c r="E196" s="108" t="s">
        <v>104</v>
      </c>
      <c r="F196" s="107"/>
      <c r="G196" s="107" t="s">
        <v>399</v>
      </c>
      <c r="H196" s="107" t="s">
        <v>400</v>
      </c>
      <c r="I196" s="107" t="s">
        <v>372</v>
      </c>
      <c r="J196" s="200">
        <v>95</v>
      </c>
      <c r="K196" s="107" t="s">
        <v>480</v>
      </c>
      <c r="L196" s="107" t="s">
        <v>658</v>
      </c>
      <c r="M196" s="107" t="s">
        <v>412</v>
      </c>
      <c r="N196" s="107" t="s">
        <v>659</v>
      </c>
    </row>
    <row r="197" spans="1:14" ht="18.75" customHeight="1" x14ac:dyDescent="0.25">
      <c r="A197" s="106">
        <v>11</v>
      </c>
      <c r="B197" s="107" t="s">
        <v>123</v>
      </c>
      <c r="C197" s="107" t="s">
        <v>124</v>
      </c>
      <c r="D197" s="107" t="s">
        <v>105</v>
      </c>
      <c r="E197" s="108" t="s">
        <v>104</v>
      </c>
      <c r="F197" s="107"/>
      <c r="G197" s="107" t="s">
        <v>402</v>
      </c>
      <c r="H197" s="107" t="s">
        <v>403</v>
      </c>
      <c r="I197" s="107" t="s">
        <v>404</v>
      </c>
      <c r="J197" s="200">
        <v>332</v>
      </c>
      <c r="K197" s="107" t="s">
        <v>36</v>
      </c>
      <c r="L197" s="107" t="s">
        <v>663</v>
      </c>
      <c r="M197" s="107" t="s">
        <v>104</v>
      </c>
      <c r="N197" s="107" t="s">
        <v>657</v>
      </c>
    </row>
    <row r="198" spans="1:14" ht="18.75" customHeight="1" x14ac:dyDescent="0.25">
      <c r="A198" s="106">
        <v>12</v>
      </c>
      <c r="B198" s="107" t="s">
        <v>123</v>
      </c>
      <c r="C198" s="107" t="s">
        <v>124</v>
      </c>
      <c r="D198" s="107" t="s">
        <v>105</v>
      </c>
      <c r="E198" s="108" t="s">
        <v>104</v>
      </c>
      <c r="F198" s="107"/>
      <c r="G198" s="107" t="s">
        <v>406</v>
      </c>
      <c r="H198" s="107" t="s">
        <v>407</v>
      </c>
      <c r="I198" s="107" t="s">
        <v>367</v>
      </c>
      <c r="J198" s="200">
        <v>124</v>
      </c>
      <c r="K198" s="107" t="s">
        <v>480</v>
      </c>
      <c r="L198" s="107" t="s">
        <v>658</v>
      </c>
      <c r="M198" s="107" t="s">
        <v>412</v>
      </c>
      <c r="N198" s="107" t="s">
        <v>659</v>
      </c>
    </row>
    <row r="199" spans="1:14" ht="18.75" customHeight="1" x14ac:dyDescent="0.25">
      <c r="A199" s="106">
        <v>13</v>
      </c>
      <c r="B199" s="107" t="s">
        <v>123</v>
      </c>
      <c r="C199" s="107" t="s">
        <v>124</v>
      </c>
      <c r="D199" s="107" t="s">
        <v>105</v>
      </c>
      <c r="E199" s="108" t="s">
        <v>104</v>
      </c>
      <c r="F199" s="107"/>
      <c r="G199" s="107" t="s">
        <v>409</v>
      </c>
      <c r="H199" s="107" t="s">
        <v>410</v>
      </c>
      <c r="I199" s="107" t="s">
        <v>360</v>
      </c>
      <c r="J199" s="200">
        <v>125</v>
      </c>
      <c r="K199" s="107" t="s">
        <v>36</v>
      </c>
      <c r="L199" s="107" t="s">
        <v>664</v>
      </c>
      <c r="M199" s="107" t="s">
        <v>104</v>
      </c>
      <c r="N199" s="107" t="s">
        <v>657</v>
      </c>
    </row>
    <row r="200" spans="1:14" ht="18.75" customHeight="1" x14ac:dyDescent="0.25">
      <c r="A200" s="106">
        <v>14</v>
      </c>
      <c r="B200" s="107" t="s">
        <v>123</v>
      </c>
      <c r="C200" s="107" t="s">
        <v>124</v>
      </c>
      <c r="D200" s="107" t="s">
        <v>105</v>
      </c>
      <c r="E200" s="108" t="s">
        <v>104</v>
      </c>
      <c r="F200" s="107"/>
      <c r="G200" s="107" t="s">
        <v>415</v>
      </c>
      <c r="H200" s="107" t="s">
        <v>416</v>
      </c>
      <c r="I200" s="107" t="s">
        <v>385</v>
      </c>
      <c r="J200" s="200">
        <v>303</v>
      </c>
      <c r="K200" s="107" t="s">
        <v>36</v>
      </c>
      <c r="L200" s="107" t="s">
        <v>665</v>
      </c>
      <c r="M200" s="107" t="s">
        <v>104</v>
      </c>
      <c r="N200" s="107" t="s">
        <v>657</v>
      </c>
    </row>
    <row r="201" spans="1:14" ht="18.75" customHeight="1" x14ac:dyDescent="0.25">
      <c r="A201" s="106">
        <v>15</v>
      </c>
      <c r="B201" s="107" t="s">
        <v>123</v>
      </c>
      <c r="C201" s="107" t="s">
        <v>124</v>
      </c>
      <c r="D201" s="107" t="s">
        <v>105</v>
      </c>
      <c r="E201" s="108" t="s">
        <v>104</v>
      </c>
      <c r="F201" s="107"/>
      <c r="G201" s="107" t="s">
        <v>418</v>
      </c>
      <c r="H201" s="107" t="s">
        <v>419</v>
      </c>
      <c r="I201" s="107" t="s">
        <v>421</v>
      </c>
      <c r="J201" s="200">
        <v>341</v>
      </c>
      <c r="K201" s="107" t="s">
        <v>480</v>
      </c>
      <c r="L201" s="107" t="s">
        <v>658</v>
      </c>
      <c r="M201" s="107" t="s">
        <v>412</v>
      </c>
      <c r="N201" s="107" t="s">
        <v>659</v>
      </c>
    </row>
    <row r="202" spans="1:14" ht="18.75" customHeight="1" x14ac:dyDescent="0.25">
      <c r="A202" s="106">
        <v>16</v>
      </c>
      <c r="B202" s="107" t="s">
        <v>123</v>
      </c>
      <c r="C202" s="107" t="s">
        <v>124</v>
      </c>
      <c r="D202" s="107" t="s">
        <v>105</v>
      </c>
      <c r="E202" s="108" t="s">
        <v>104</v>
      </c>
      <c r="F202" s="107"/>
      <c r="G202" s="107" t="s">
        <v>423</v>
      </c>
      <c r="H202" s="107" t="s">
        <v>424</v>
      </c>
      <c r="I202" s="107" t="s">
        <v>425</v>
      </c>
      <c r="J202" s="200">
        <v>144</v>
      </c>
      <c r="K202" s="107" t="s">
        <v>36</v>
      </c>
      <c r="L202" s="107" t="s">
        <v>666</v>
      </c>
      <c r="M202" s="107" t="s">
        <v>104</v>
      </c>
      <c r="N202" s="107" t="s">
        <v>657</v>
      </c>
    </row>
    <row r="203" spans="1:14" ht="18.75" customHeight="1" x14ac:dyDescent="0.25">
      <c r="A203" s="106">
        <v>17</v>
      </c>
      <c r="B203" s="107" t="s">
        <v>123</v>
      </c>
      <c r="C203" s="107" t="s">
        <v>124</v>
      </c>
      <c r="D203" s="107" t="s">
        <v>105</v>
      </c>
      <c r="E203" s="108" t="s">
        <v>104</v>
      </c>
      <c r="F203" s="107"/>
      <c r="G203" s="107" t="s">
        <v>427</v>
      </c>
      <c r="H203" s="107" t="s">
        <v>428</v>
      </c>
      <c r="I203" s="107" t="s">
        <v>429</v>
      </c>
      <c r="J203" s="200">
        <v>195</v>
      </c>
      <c r="K203" s="107" t="s">
        <v>480</v>
      </c>
      <c r="L203" s="107" t="s">
        <v>658</v>
      </c>
      <c r="M203" s="107" t="s">
        <v>412</v>
      </c>
      <c r="N203" s="107" t="s">
        <v>659</v>
      </c>
    </row>
    <row r="204" spans="1:14" ht="18.75" customHeight="1" x14ac:dyDescent="0.25">
      <c r="A204" s="106">
        <v>18</v>
      </c>
      <c r="B204" s="107" t="s">
        <v>123</v>
      </c>
      <c r="C204" s="107" t="s">
        <v>124</v>
      </c>
      <c r="D204" s="107" t="s">
        <v>105</v>
      </c>
      <c r="E204" s="108" t="s">
        <v>104</v>
      </c>
      <c r="F204" s="107"/>
      <c r="G204" s="107" t="s">
        <v>431</v>
      </c>
      <c r="H204" s="107" t="s">
        <v>432</v>
      </c>
      <c r="I204" s="107" t="s">
        <v>360</v>
      </c>
      <c r="J204" s="200">
        <v>330</v>
      </c>
      <c r="K204" s="107" t="s">
        <v>36</v>
      </c>
      <c r="L204" s="107" t="s">
        <v>667</v>
      </c>
      <c r="M204" s="107" t="s">
        <v>104</v>
      </c>
      <c r="N204" s="107" t="s">
        <v>657</v>
      </c>
    </row>
    <row r="205" spans="1:14" ht="18.75" customHeight="1" x14ac:dyDescent="0.25">
      <c r="A205" s="106">
        <v>19</v>
      </c>
      <c r="B205" s="107" t="s">
        <v>123</v>
      </c>
      <c r="C205" s="107" t="s">
        <v>124</v>
      </c>
      <c r="D205" s="107" t="s">
        <v>105</v>
      </c>
      <c r="E205" s="108" t="s">
        <v>104</v>
      </c>
      <c r="F205" s="107"/>
      <c r="G205" s="107" t="s">
        <v>434</v>
      </c>
      <c r="H205" s="107" t="s">
        <v>435</v>
      </c>
      <c r="I205" s="107" t="s">
        <v>436</v>
      </c>
      <c r="J205" s="200">
        <v>276</v>
      </c>
      <c r="K205" s="107" t="s">
        <v>480</v>
      </c>
      <c r="L205" s="107" t="s">
        <v>658</v>
      </c>
      <c r="M205" s="107" t="s">
        <v>412</v>
      </c>
      <c r="N205" s="107" t="s">
        <v>659</v>
      </c>
    </row>
    <row r="206" spans="1:14" ht="18.75" customHeight="1" x14ac:dyDescent="0.25">
      <c r="A206" s="106">
        <v>20</v>
      </c>
      <c r="B206" s="107" t="s">
        <v>123</v>
      </c>
      <c r="C206" s="107" t="s">
        <v>124</v>
      </c>
      <c r="D206" s="107" t="s">
        <v>105</v>
      </c>
      <c r="E206" s="108" t="s">
        <v>104</v>
      </c>
      <c r="F206" s="107"/>
      <c r="G206" s="107" t="s">
        <v>438</v>
      </c>
      <c r="H206" s="107" t="s">
        <v>439</v>
      </c>
      <c r="I206" s="107" t="s">
        <v>440</v>
      </c>
      <c r="J206" s="200">
        <v>168</v>
      </c>
      <c r="K206" s="107" t="s">
        <v>36</v>
      </c>
      <c r="L206" s="107" t="s">
        <v>668</v>
      </c>
      <c r="M206" s="107" t="s">
        <v>104</v>
      </c>
      <c r="N206" s="107" t="s">
        <v>657</v>
      </c>
    </row>
    <row r="207" spans="1:14" ht="18.75" customHeight="1" x14ac:dyDescent="0.25">
      <c r="A207" s="106">
        <v>21</v>
      </c>
      <c r="B207" s="107" t="s">
        <v>123</v>
      </c>
      <c r="C207" s="107" t="s">
        <v>124</v>
      </c>
      <c r="D207" s="107" t="s">
        <v>105</v>
      </c>
      <c r="E207" s="108" t="s">
        <v>104</v>
      </c>
      <c r="F207" s="107"/>
      <c r="G207" s="107" t="s">
        <v>442</v>
      </c>
      <c r="H207" s="107" t="s">
        <v>443</v>
      </c>
      <c r="I207" s="107" t="s">
        <v>381</v>
      </c>
      <c r="J207" s="200">
        <v>336</v>
      </c>
      <c r="K207" s="107" t="s">
        <v>480</v>
      </c>
      <c r="L207" s="107" t="s">
        <v>658</v>
      </c>
      <c r="M207" s="107" t="s">
        <v>412</v>
      </c>
      <c r="N207" s="107" t="s">
        <v>659</v>
      </c>
    </row>
    <row r="208" spans="1:14" ht="18.75" customHeight="1" x14ac:dyDescent="0.25">
      <c r="A208" s="106">
        <v>22</v>
      </c>
      <c r="B208" s="107" t="s">
        <v>123</v>
      </c>
      <c r="C208" s="107" t="s">
        <v>124</v>
      </c>
      <c r="D208" s="107" t="s">
        <v>105</v>
      </c>
      <c r="E208" s="108" t="s">
        <v>104</v>
      </c>
      <c r="F208" s="107"/>
      <c r="G208" s="107" t="s">
        <v>445</v>
      </c>
      <c r="H208" s="107" t="s">
        <v>446</v>
      </c>
      <c r="I208" s="107" t="s">
        <v>372</v>
      </c>
      <c r="J208" s="200">
        <v>162</v>
      </c>
      <c r="K208" s="107" t="s">
        <v>36</v>
      </c>
      <c r="L208" s="107" t="s">
        <v>669</v>
      </c>
      <c r="M208" s="107" t="s">
        <v>104</v>
      </c>
      <c r="N208" s="107" t="s">
        <v>657</v>
      </c>
    </row>
    <row r="209" spans="1:14" ht="18.75" customHeight="1" x14ac:dyDescent="0.25">
      <c r="A209" s="106">
        <v>23</v>
      </c>
      <c r="B209" s="107" t="s">
        <v>123</v>
      </c>
      <c r="C209" s="107" t="s">
        <v>124</v>
      </c>
      <c r="D209" s="107" t="s">
        <v>105</v>
      </c>
      <c r="E209" s="108" t="s">
        <v>104</v>
      </c>
      <c r="F209" s="107"/>
      <c r="G209" s="107" t="s">
        <v>449</v>
      </c>
      <c r="H209" s="107" t="s">
        <v>450</v>
      </c>
      <c r="I209" s="107" t="s">
        <v>451</v>
      </c>
      <c r="J209" s="200">
        <v>219</v>
      </c>
      <c r="K209" s="107" t="s">
        <v>36</v>
      </c>
      <c r="L209" s="107" t="s">
        <v>670</v>
      </c>
      <c r="M209" s="107" t="s">
        <v>104</v>
      </c>
      <c r="N209" s="107" t="s">
        <v>657</v>
      </c>
    </row>
    <row r="210" spans="1:14" ht="18.75" customHeight="1" x14ac:dyDescent="0.25">
      <c r="A210" s="106">
        <v>24</v>
      </c>
      <c r="B210" s="107" t="s">
        <v>123</v>
      </c>
      <c r="C210" s="107" t="s">
        <v>124</v>
      </c>
      <c r="D210" s="107" t="s">
        <v>105</v>
      </c>
      <c r="E210" s="108" t="s">
        <v>104</v>
      </c>
      <c r="F210" s="107"/>
      <c r="G210" s="107" t="s">
        <v>453</v>
      </c>
      <c r="H210" s="107" t="s">
        <v>454</v>
      </c>
      <c r="I210" s="107" t="s">
        <v>455</v>
      </c>
      <c r="J210" s="200">
        <v>264</v>
      </c>
      <c r="K210" s="107" t="s">
        <v>480</v>
      </c>
      <c r="L210" s="107" t="s">
        <v>658</v>
      </c>
      <c r="M210" s="107" t="s">
        <v>412</v>
      </c>
      <c r="N210" s="107" t="s">
        <v>659</v>
      </c>
    </row>
    <row r="211" spans="1:14" ht="18.75" customHeight="1" x14ac:dyDescent="0.25">
      <c r="A211" s="106">
        <v>25</v>
      </c>
      <c r="B211" s="107" t="s">
        <v>123</v>
      </c>
      <c r="C211" s="107" t="s">
        <v>124</v>
      </c>
      <c r="D211" s="107" t="s">
        <v>105</v>
      </c>
      <c r="E211" s="108" t="s">
        <v>104</v>
      </c>
      <c r="F211" s="107"/>
      <c r="G211" s="107" t="s">
        <v>457</v>
      </c>
      <c r="H211" s="107" t="s">
        <v>458</v>
      </c>
      <c r="I211" s="107" t="s">
        <v>459</v>
      </c>
      <c r="J211" s="200">
        <v>251</v>
      </c>
      <c r="K211" s="107" t="s">
        <v>36</v>
      </c>
      <c r="L211" s="107" t="s">
        <v>671</v>
      </c>
      <c r="M211" s="107" t="s">
        <v>104</v>
      </c>
      <c r="N211" s="107" t="s">
        <v>657</v>
      </c>
    </row>
    <row r="212" spans="1:14" ht="18.75" customHeight="1" x14ac:dyDescent="0.25">
      <c r="A212" s="106" t="s">
        <v>685</v>
      </c>
      <c r="B212" s="107" t="s">
        <v>123</v>
      </c>
      <c r="C212" s="107" t="s">
        <v>124</v>
      </c>
      <c r="D212" s="107" t="s">
        <v>105</v>
      </c>
      <c r="E212" s="108" t="s">
        <v>104</v>
      </c>
      <c r="F212" s="107"/>
      <c r="G212" s="107" t="s">
        <v>686</v>
      </c>
      <c r="H212" s="107" t="s">
        <v>435</v>
      </c>
      <c r="I212" s="107" t="s">
        <v>436</v>
      </c>
      <c r="J212" s="200">
        <v>284</v>
      </c>
      <c r="K212" s="107"/>
      <c r="L212" s="107"/>
      <c r="M212" s="107"/>
      <c r="N212" s="107"/>
    </row>
    <row r="213" spans="1:14" ht="18.75" customHeight="1" x14ac:dyDescent="0.25">
      <c r="A213" s="106">
        <v>1</v>
      </c>
      <c r="B213" s="107" t="s">
        <v>125</v>
      </c>
      <c r="C213" s="107" t="s">
        <v>126</v>
      </c>
      <c r="D213" s="107" t="s">
        <v>105</v>
      </c>
      <c r="E213" s="108" t="s">
        <v>121</v>
      </c>
      <c r="F213" s="107"/>
      <c r="G213" s="107" t="s">
        <v>353</v>
      </c>
      <c r="H213" s="107" t="s">
        <v>354</v>
      </c>
      <c r="I213" s="107" t="s">
        <v>360</v>
      </c>
      <c r="J213" s="200">
        <v>177</v>
      </c>
      <c r="K213" s="107" t="s">
        <v>36</v>
      </c>
      <c r="L213" s="107" t="s">
        <v>656</v>
      </c>
      <c r="M213" s="107" t="s">
        <v>121</v>
      </c>
      <c r="N213" s="107" t="s">
        <v>657</v>
      </c>
    </row>
    <row r="214" spans="1:14" ht="18.75" customHeight="1" x14ac:dyDescent="0.25">
      <c r="A214" s="106">
        <v>2</v>
      </c>
      <c r="B214" s="107" t="s">
        <v>125</v>
      </c>
      <c r="C214" s="107" t="s">
        <v>126</v>
      </c>
      <c r="D214" s="107" t="s">
        <v>105</v>
      </c>
      <c r="E214" s="108" t="s">
        <v>121</v>
      </c>
      <c r="F214" s="107"/>
      <c r="G214" s="107" t="s">
        <v>363</v>
      </c>
      <c r="H214" s="107" t="s">
        <v>364</v>
      </c>
      <c r="I214" s="107" t="s">
        <v>367</v>
      </c>
      <c r="J214" s="200">
        <v>160</v>
      </c>
      <c r="K214" s="107" t="s">
        <v>480</v>
      </c>
      <c r="L214" s="107" t="s">
        <v>658</v>
      </c>
      <c r="M214" s="107" t="s">
        <v>412</v>
      </c>
      <c r="N214" s="107" t="s">
        <v>659</v>
      </c>
    </row>
    <row r="215" spans="1:14" ht="18.75" customHeight="1" x14ac:dyDescent="0.25">
      <c r="A215" s="106">
        <v>3</v>
      </c>
      <c r="B215" s="107" t="s">
        <v>125</v>
      </c>
      <c r="C215" s="107" t="s">
        <v>126</v>
      </c>
      <c r="D215" s="107" t="s">
        <v>105</v>
      </c>
      <c r="E215" s="108" t="s">
        <v>121</v>
      </c>
      <c r="F215" s="107"/>
      <c r="G215" s="107" t="s">
        <v>369</v>
      </c>
      <c r="H215" s="107" t="s">
        <v>370</v>
      </c>
      <c r="I215" s="107" t="s">
        <v>372</v>
      </c>
      <c r="J215" s="200">
        <v>75</v>
      </c>
      <c r="K215" s="107" t="s">
        <v>480</v>
      </c>
      <c r="L215" s="107" t="s">
        <v>658</v>
      </c>
      <c r="M215" s="107" t="s">
        <v>412</v>
      </c>
      <c r="N215" s="107" t="s">
        <v>659</v>
      </c>
    </row>
    <row r="216" spans="1:14" ht="18.75" customHeight="1" x14ac:dyDescent="0.25">
      <c r="A216" s="106">
        <v>4</v>
      </c>
      <c r="B216" s="107" t="s">
        <v>125</v>
      </c>
      <c r="C216" s="107" t="s">
        <v>126</v>
      </c>
      <c r="D216" s="107" t="s">
        <v>105</v>
      </c>
      <c r="E216" s="108" t="s">
        <v>121</v>
      </c>
      <c r="F216" s="107"/>
      <c r="G216" s="107" t="s">
        <v>374</v>
      </c>
      <c r="H216" s="107" t="s">
        <v>375</v>
      </c>
      <c r="I216" s="107" t="s">
        <v>377</v>
      </c>
      <c r="J216" s="200">
        <v>108</v>
      </c>
      <c r="K216" s="107" t="s">
        <v>36</v>
      </c>
      <c r="L216" s="107" t="s">
        <v>660</v>
      </c>
      <c r="M216" s="107" t="s">
        <v>121</v>
      </c>
      <c r="N216" s="107" t="s">
        <v>657</v>
      </c>
    </row>
    <row r="217" spans="1:14" ht="18.75" customHeight="1" x14ac:dyDescent="0.25">
      <c r="A217" s="106">
        <v>5</v>
      </c>
      <c r="B217" s="107" t="s">
        <v>125</v>
      </c>
      <c r="C217" s="107" t="s">
        <v>126</v>
      </c>
      <c r="D217" s="107" t="s">
        <v>105</v>
      </c>
      <c r="E217" s="108" t="s">
        <v>121</v>
      </c>
      <c r="F217" s="107"/>
      <c r="G217" s="107" t="s">
        <v>379</v>
      </c>
      <c r="H217" s="107" t="s">
        <v>380</v>
      </c>
      <c r="I217" s="107" t="s">
        <v>381</v>
      </c>
      <c r="J217" s="200">
        <v>102</v>
      </c>
      <c r="K217" s="107" t="s">
        <v>480</v>
      </c>
      <c r="L217" s="107" t="s">
        <v>658</v>
      </c>
      <c r="M217" s="107" t="s">
        <v>412</v>
      </c>
      <c r="N217" s="107" t="s">
        <v>659</v>
      </c>
    </row>
    <row r="218" spans="1:14" ht="18.75" customHeight="1" x14ac:dyDescent="0.25">
      <c r="A218" s="106">
        <v>6</v>
      </c>
      <c r="B218" s="107" t="s">
        <v>125</v>
      </c>
      <c r="C218" s="107" t="s">
        <v>126</v>
      </c>
      <c r="D218" s="107" t="s">
        <v>105</v>
      </c>
      <c r="E218" s="108" t="s">
        <v>121</v>
      </c>
      <c r="F218" s="107"/>
      <c r="G218" s="107" t="s">
        <v>383</v>
      </c>
      <c r="H218" s="107" t="s">
        <v>384</v>
      </c>
      <c r="I218" s="107" t="s">
        <v>385</v>
      </c>
      <c r="J218" s="200">
        <v>61</v>
      </c>
      <c r="K218" s="107" t="s">
        <v>36</v>
      </c>
      <c r="L218" s="107" t="s">
        <v>661</v>
      </c>
      <c r="M218" s="107" t="s">
        <v>121</v>
      </c>
      <c r="N218" s="107" t="s">
        <v>657</v>
      </c>
    </row>
    <row r="219" spans="1:14" ht="4.5" customHeight="1" x14ac:dyDescent="0.25">
      <c r="A219" s="105">
        <v>7</v>
      </c>
      <c r="B219" s="105" t="s">
        <v>125</v>
      </c>
      <c r="C219" s="105" t="s">
        <v>126</v>
      </c>
      <c r="D219" s="105" t="s">
        <v>105</v>
      </c>
      <c r="E219" s="105" t="s">
        <v>121</v>
      </c>
      <c r="F219" s="105"/>
      <c r="G219" s="105" t="s">
        <v>387</v>
      </c>
      <c r="H219" s="105" t="s">
        <v>388</v>
      </c>
      <c r="I219" s="105" t="s">
        <v>389</v>
      </c>
      <c r="J219" s="201">
        <v>131</v>
      </c>
      <c r="K219" s="105" t="s">
        <v>480</v>
      </c>
      <c r="L219" s="105" t="s">
        <v>658</v>
      </c>
      <c r="M219" s="105" t="s">
        <v>412</v>
      </c>
      <c r="N219" s="105" t="s">
        <v>659</v>
      </c>
    </row>
    <row r="220" spans="1:14" ht="19.5" customHeight="1" x14ac:dyDescent="0.25">
      <c r="A220" s="259" t="s">
        <v>685</v>
      </c>
      <c r="B220" s="260"/>
      <c r="C220" s="260"/>
      <c r="D220" s="260"/>
      <c r="E220" s="260"/>
      <c r="F220" s="260"/>
      <c r="G220" s="260"/>
      <c r="H220" s="260"/>
      <c r="I220" s="260"/>
      <c r="J220" s="260"/>
      <c r="K220" s="260"/>
      <c r="L220" s="260"/>
      <c r="M220" s="260"/>
      <c r="N220" s="261"/>
    </row>
    <row r="221" spans="1:14" ht="18.75" customHeight="1" x14ac:dyDescent="0.25">
      <c r="A221" s="34">
        <v>9</v>
      </c>
      <c r="B221" s="35" t="s">
        <v>125</v>
      </c>
      <c r="C221" s="35" t="s">
        <v>126</v>
      </c>
      <c r="D221" s="35" t="s">
        <v>105</v>
      </c>
      <c r="E221" s="109" t="s">
        <v>121</v>
      </c>
      <c r="F221" s="35"/>
      <c r="G221" s="35" t="s">
        <v>395</v>
      </c>
      <c r="H221" s="35" t="s">
        <v>396</v>
      </c>
      <c r="I221" s="35" t="s">
        <v>360</v>
      </c>
      <c r="J221" s="198">
        <v>50</v>
      </c>
      <c r="K221" s="35" t="s">
        <v>36</v>
      </c>
      <c r="L221" s="35" t="s">
        <v>662</v>
      </c>
      <c r="M221" s="35" t="s">
        <v>121</v>
      </c>
      <c r="N221" s="35" t="s">
        <v>657</v>
      </c>
    </row>
    <row r="222" spans="1:14" ht="18.75" customHeight="1" x14ac:dyDescent="0.25">
      <c r="A222" s="102">
        <v>10</v>
      </c>
      <c r="B222" s="103" t="s">
        <v>125</v>
      </c>
      <c r="C222" s="103" t="s">
        <v>126</v>
      </c>
      <c r="D222" s="103" t="s">
        <v>105</v>
      </c>
      <c r="E222" s="110" t="s">
        <v>121</v>
      </c>
      <c r="F222" s="103"/>
      <c r="G222" s="103" t="s">
        <v>399</v>
      </c>
      <c r="H222" s="103" t="s">
        <v>400</v>
      </c>
      <c r="I222" s="103" t="s">
        <v>372</v>
      </c>
      <c r="J222" s="199">
        <v>195</v>
      </c>
      <c r="K222" s="103" t="s">
        <v>480</v>
      </c>
      <c r="L222" s="103" t="s">
        <v>658</v>
      </c>
      <c r="M222" s="103" t="s">
        <v>412</v>
      </c>
      <c r="N222" s="103" t="s">
        <v>659</v>
      </c>
    </row>
    <row r="223" spans="1:14" ht="18.75" customHeight="1" x14ac:dyDescent="0.25">
      <c r="A223" s="102">
        <v>11</v>
      </c>
      <c r="B223" s="103" t="s">
        <v>125</v>
      </c>
      <c r="C223" s="103" t="s">
        <v>126</v>
      </c>
      <c r="D223" s="103" t="s">
        <v>105</v>
      </c>
      <c r="E223" s="110" t="s">
        <v>121</v>
      </c>
      <c r="F223" s="103"/>
      <c r="G223" s="103" t="s">
        <v>402</v>
      </c>
      <c r="H223" s="103" t="s">
        <v>403</v>
      </c>
      <c r="I223" s="103" t="s">
        <v>404</v>
      </c>
      <c r="J223" s="199">
        <v>186</v>
      </c>
      <c r="K223" s="103" t="s">
        <v>36</v>
      </c>
      <c r="L223" s="103" t="s">
        <v>663</v>
      </c>
      <c r="M223" s="103" t="s">
        <v>121</v>
      </c>
      <c r="N223" s="103" t="s">
        <v>657</v>
      </c>
    </row>
    <row r="224" spans="1:14" ht="18.75" customHeight="1" x14ac:dyDescent="0.25">
      <c r="A224" s="102">
        <v>12</v>
      </c>
      <c r="B224" s="103" t="s">
        <v>125</v>
      </c>
      <c r="C224" s="103" t="s">
        <v>126</v>
      </c>
      <c r="D224" s="103" t="s">
        <v>105</v>
      </c>
      <c r="E224" s="110" t="s">
        <v>121</v>
      </c>
      <c r="F224" s="103"/>
      <c r="G224" s="103" t="s">
        <v>406</v>
      </c>
      <c r="H224" s="103" t="s">
        <v>407</v>
      </c>
      <c r="I224" s="103" t="s">
        <v>367</v>
      </c>
      <c r="J224" s="199">
        <v>103</v>
      </c>
      <c r="K224" s="103" t="s">
        <v>480</v>
      </c>
      <c r="L224" s="103" t="s">
        <v>658</v>
      </c>
      <c r="M224" s="103" t="s">
        <v>412</v>
      </c>
      <c r="N224" s="103" t="s">
        <v>659</v>
      </c>
    </row>
    <row r="225" spans="1:14" ht="18.75" customHeight="1" x14ac:dyDescent="0.25">
      <c r="A225" s="102">
        <v>13</v>
      </c>
      <c r="B225" s="103" t="s">
        <v>125</v>
      </c>
      <c r="C225" s="103" t="s">
        <v>126</v>
      </c>
      <c r="D225" s="103" t="s">
        <v>105</v>
      </c>
      <c r="E225" s="110" t="s">
        <v>121</v>
      </c>
      <c r="F225" s="103"/>
      <c r="G225" s="103" t="s">
        <v>409</v>
      </c>
      <c r="H225" s="103" t="s">
        <v>410</v>
      </c>
      <c r="I225" s="103" t="s">
        <v>360</v>
      </c>
      <c r="J225" s="199">
        <v>195</v>
      </c>
      <c r="K225" s="103" t="s">
        <v>36</v>
      </c>
      <c r="L225" s="103" t="s">
        <v>664</v>
      </c>
      <c r="M225" s="103" t="s">
        <v>121</v>
      </c>
      <c r="N225" s="103" t="s">
        <v>657</v>
      </c>
    </row>
    <row r="226" spans="1:14" ht="18.75" customHeight="1" x14ac:dyDescent="0.25">
      <c r="A226" s="102">
        <v>14</v>
      </c>
      <c r="B226" s="103" t="s">
        <v>125</v>
      </c>
      <c r="C226" s="103" t="s">
        <v>126</v>
      </c>
      <c r="D226" s="103" t="s">
        <v>105</v>
      </c>
      <c r="E226" s="110" t="s">
        <v>121</v>
      </c>
      <c r="F226" s="103"/>
      <c r="G226" s="103" t="s">
        <v>415</v>
      </c>
      <c r="H226" s="103" t="s">
        <v>416</v>
      </c>
      <c r="I226" s="103" t="s">
        <v>385</v>
      </c>
      <c r="J226" s="199">
        <v>101</v>
      </c>
      <c r="K226" s="103" t="s">
        <v>36</v>
      </c>
      <c r="L226" s="103" t="s">
        <v>665</v>
      </c>
      <c r="M226" s="103" t="s">
        <v>121</v>
      </c>
      <c r="N226" s="103" t="s">
        <v>657</v>
      </c>
    </row>
    <row r="227" spans="1:14" ht="18.75" customHeight="1" x14ac:dyDescent="0.25">
      <c r="A227" s="102">
        <v>15</v>
      </c>
      <c r="B227" s="103" t="s">
        <v>125</v>
      </c>
      <c r="C227" s="103" t="s">
        <v>126</v>
      </c>
      <c r="D227" s="103" t="s">
        <v>105</v>
      </c>
      <c r="E227" s="110" t="s">
        <v>121</v>
      </c>
      <c r="F227" s="103"/>
      <c r="G227" s="103" t="s">
        <v>418</v>
      </c>
      <c r="H227" s="103" t="s">
        <v>419</v>
      </c>
      <c r="I227" s="103" t="s">
        <v>421</v>
      </c>
      <c r="J227" s="199">
        <v>46</v>
      </c>
      <c r="K227" s="103" t="s">
        <v>480</v>
      </c>
      <c r="L227" s="103" t="s">
        <v>658</v>
      </c>
      <c r="M227" s="103" t="s">
        <v>412</v>
      </c>
      <c r="N227" s="103" t="s">
        <v>659</v>
      </c>
    </row>
    <row r="228" spans="1:14" ht="18.75" customHeight="1" x14ac:dyDescent="0.25">
      <c r="A228" s="102">
        <v>16</v>
      </c>
      <c r="B228" s="103" t="s">
        <v>125</v>
      </c>
      <c r="C228" s="103" t="s">
        <v>126</v>
      </c>
      <c r="D228" s="103" t="s">
        <v>105</v>
      </c>
      <c r="E228" s="110" t="s">
        <v>121</v>
      </c>
      <c r="F228" s="103"/>
      <c r="G228" s="103" t="s">
        <v>423</v>
      </c>
      <c r="H228" s="103" t="s">
        <v>424</v>
      </c>
      <c r="I228" s="103" t="s">
        <v>425</v>
      </c>
      <c r="J228" s="199">
        <v>63</v>
      </c>
      <c r="K228" s="103" t="s">
        <v>36</v>
      </c>
      <c r="L228" s="103" t="s">
        <v>666</v>
      </c>
      <c r="M228" s="103" t="s">
        <v>121</v>
      </c>
      <c r="N228" s="103" t="s">
        <v>657</v>
      </c>
    </row>
    <row r="229" spans="1:14" ht="18.75" customHeight="1" x14ac:dyDescent="0.25">
      <c r="A229" s="102">
        <v>17</v>
      </c>
      <c r="B229" s="103" t="s">
        <v>125</v>
      </c>
      <c r="C229" s="103" t="s">
        <v>126</v>
      </c>
      <c r="D229" s="103" t="s">
        <v>105</v>
      </c>
      <c r="E229" s="110" t="s">
        <v>121</v>
      </c>
      <c r="F229" s="103"/>
      <c r="G229" s="103" t="s">
        <v>427</v>
      </c>
      <c r="H229" s="103" t="s">
        <v>428</v>
      </c>
      <c r="I229" s="103" t="s">
        <v>429</v>
      </c>
      <c r="J229" s="199">
        <v>226</v>
      </c>
      <c r="K229" s="103" t="s">
        <v>480</v>
      </c>
      <c r="L229" s="103" t="s">
        <v>658</v>
      </c>
      <c r="M229" s="103" t="s">
        <v>412</v>
      </c>
      <c r="N229" s="103" t="s">
        <v>659</v>
      </c>
    </row>
    <row r="230" spans="1:14" ht="18.75" customHeight="1" x14ac:dyDescent="0.25">
      <c r="A230" s="102">
        <v>18</v>
      </c>
      <c r="B230" s="103" t="s">
        <v>125</v>
      </c>
      <c r="C230" s="103" t="s">
        <v>126</v>
      </c>
      <c r="D230" s="103" t="s">
        <v>105</v>
      </c>
      <c r="E230" s="110" t="s">
        <v>121</v>
      </c>
      <c r="F230" s="103"/>
      <c r="G230" s="103" t="s">
        <v>431</v>
      </c>
      <c r="H230" s="103" t="s">
        <v>432</v>
      </c>
      <c r="I230" s="103" t="s">
        <v>360</v>
      </c>
      <c r="J230" s="199">
        <v>206</v>
      </c>
      <c r="K230" s="103" t="s">
        <v>36</v>
      </c>
      <c r="L230" s="103" t="s">
        <v>667</v>
      </c>
      <c r="M230" s="103" t="s">
        <v>121</v>
      </c>
      <c r="N230" s="103" t="s">
        <v>657</v>
      </c>
    </row>
    <row r="231" spans="1:14" ht="18.75" customHeight="1" x14ac:dyDescent="0.25">
      <c r="A231" s="102">
        <v>19</v>
      </c>
      <c r="B231" s="103" t="s">
        <v>125</v>
      </c>
      <c r="C231" s="103" t="s">
        <v>126</v>
      </c>
      <c r="D231" s="103" t="s">
        <v>105</v>
      </c>
      <c r="E231" s="110" t="s">
        <v>121</v>
      </c>
      <c r="F231" s="103"/>
      <c r="G231" s="103" t="s">
        <v>434</v>
      </c>
      <c r="H231" s="103" t="s">
        <v>435</v>
      </c>
      <c r="I231" s="103" t="s">
        <v>436</v>
      </c>
      <c r="J231" s="199">
        <v>60</v>
      </c>
      <c r="K231" s="103" t="s">
        <v>480</v>
      </c>
      <c r="L231" s="103" t="s">
        <v>658</v>
      </c>
      <c r="M231" s="103" t="s">
        <v>412</v>
      </c>
      <c r="N231" s="103" t="s">
        <v>659</v>
      </c>
    </row>
    <row r="232" spans="1:14" ht="18.75" customHeight="1" x14ac:dyDescent="0.25">
      <c r="A232" s="102">
        <v>20</v>
      </c>
      <c r="B232" s="103" t="s">
        <v>125</v>
      </c>
      <c r="C232" s="103" t="s">
        <v>126</v>
      </c>
      <c r="D232" s="103" t="s">
        <v>105</v>
      </c>
      <c r="E232" s="110" t="s">
        <v>121</v>
      </c>
      <c r="F232" s="103"/>
      <c r="G232" s="103" t="s">
        <v>438</v>
      </c>
      <c r="H232" s="103" t="s">
        <v>439</v>
      </c>
      <c r="I232" s="103" t="s">
        <v>440</v>
      </c>
      <c r="J232" s="199">
        <v>103</v>
      </c>
      <c r="K232" s="103" t="s">
        <v>36</v>
      </c>
      <c r="L232" s="103" t="s">
        <v>668</v>
      </c>
      <c r="M232" s="103" t="s">
        <v>121</v>
      </c>
      <c r="N232" s="103" t="s">
        <v>657</v>
      </c>
    </row>
    <row r="233" spans="1:14" ht="18.75" customHeight="1" x14ac:dyDescent="0.25">
      <c r="A233" s="102">
        <v>21</v>
      </c>
      <c r="B233" s="103" t="s">
        <v>125</v>
      </c>
      <c r="C233" s="103" t="s">
        <v>126</v>
      </c>
      <c r="D233" s="103" t="s">
        <v>105</v>
      </c>
      <c r="E233" s="110" t="s">
        <v>121</v>
      </c>
      <c r="F233" s="103"/>
      <c r="G233" s="103" t="s">
        <v>442</v>
      </c>
      <c r="H233" s="103" t="s">
        <v>443</v>
      </c>
      <c r="I233" s="103" t="s">
        <v>381</v>
      </c>
      <c r="J233" s="199">
        <v>62</v>
      </c>
      <c r="K233" s="103" t="s">
        <v>480</v>
      </c>
      <c r="L233" s="103" t="s">
        <v>658</v>
      </c>
      <c r="M233" s="103" t="s">
        <v>412</v>
      </c>
      <c r="N233" s="103" t="s">
        <v>659</v>
      </c>
    </row>
    <row r="234" spans="1:14" ht="18.75" customHeight="1" x14ac:dyDescent="0.25">
      <c r="A234" s="102">
        <v>22</v>
      </c>
      <c r="B234" s="103" t="s">
        <v>125</v>
      </c>
      <c r="C234" s="103" t="s">
        <v>126</v>
      </c>
      <c r="D234" s="103" t="s">
        <v>105</v>
      </c>
      <c r="E234" s="110" t="s">
        <v>121</v>
      </c>
      <c r="F234" s="103"/>
      <c r="G234" s="103" t="s">
        <v>445</v>
      </c>
      <c r="H234" s="103" t="s">
        <v>446</v>
      </c>
      <c r="I234" s="103" t="s">
        <v>372</v>
      </c>
      <c r="J234" s="199">
        <v>53</v>
      </c>
      <c r="K234" s="103" t="s">
        <v>36</v>
      </c>
      <c r="L234" s="103" t="s">
        <v>669</v>
      </c>
      <c r="M234" s="103" t="s">
        <v>121</v>
      </c>
      <c r="N234" s="103" t="s">
        <v>657</v>
      </c>
    </row>
    <row r="235" spans="1:14" ht="18.75" customHeight="1" x14ac:dyDescent="0.25">
      <c r="A235" s="102">
        <v>23</v>
      </c>
      <c r="B235" s="103" t="s">
        <v>125</v>
      </c>
      <c r="C235" s="103" t="s">
        <v>126</v>
      </c>
      <c r="D235" s="103" t="s">
        <v>105</v>
      </c>
      <c r="E235" s="110" t="s">
        <v>121</v>
      </c>
      <c r="F235" s="103"/>
      <c r="G235" s="103" t="s">
        <v>449</v>
      </c>
      <c r="H235" s="103" t="s">
        <v>450</v>
      </c>
      <c r="I235" s="103" t="s">
        <v>451</v>
      </c>
      <c r="J235" s="199">
        <v>129</v>
      </c>
      <c r="K235" s="103" t="s">
        <v>36</v>
      </c>
      <c r="L235" s="103" t="s">
        <v>670</v>
      </c>
      <c r="M235" s="103" t="s">
        <v>121</v>
      </c>
      <c r="N235" s="103" t="s">
        <v>657</v>
      </c>
    </row>
    <row r="236" spans="1:14" ht="18.75" customHeight="1" x14ac:dyDescent="0.25">
      <c r="A236" s="102">
        <v>24</v>
      </c>
      <c r="B236" s="103" t="s">
        <v>125</v>
      </c>
      <c r="C236" s="103" t="s">
        <v>126</v>
      </c>
      <c r="D236" s="103" t="s">
        <v>105</v>
      </c>
      <c r="E236" s="110" t="s">
        <v>121</v>
      </c>
      <c r="F236" s="103"/>
      <c r="G236" s="103" t="s">
        <v>453</v>
      </c>
      <c r="H236" s="103" t="s">
        <v>454</v>
      </c>
      <c r="I236" s="103" t="s">
        <v>455</v>
      </c>
      <c r="J236" s="199">
        <v>63</v>
      </c>
      <c r="K236" s="103" t="s">
        <v>480</v>
      </c>
      <c r="L236" s="103" t="s">
        <v>658</v>
      </c>
      <c r="M236" s="103" t="s">
        <v>412</v>
      </c>
      <c r="N236" s="103" t="s">
        <v>659</v>
      </c>
    </row>
    <row r="237" spans="1:14" ht="18.75" customHeight="1" x14ac:dyDescent="0.25">
      <c r="A237" s="102">
        <v>25</v>
      </c>
      <c r="B237" s="103" t="s">
        <v>125</v>
      </c>
      <c r="C237" s="103" t="s">
        <v>126</v>
      </c>
      <c r="D237" s="103" t="s">
        <v>105</v>
      </c>
      <c r="E237" s="110" t="s">
        <v>121</v>
      </c>
      <c r="F237" s="103"/>
      <c r="G237" s="103" t="s">
        <v>457</v>
      </c>
      <c r="H237" s="103" t="s">
        <v>458</v>
      </c>
      <c r="I237" s="103" t="s">
        <v>459</v>
      </c>
      <c r="J237" s="199">
        <v>176</v>
      </c>
      <c r="K237" s="103" t="s">
        <v>36</v>
      </c>
      <c r="L237" s="103" t="s">
        <v>671</v>
      </c>
      <c r="M237" s="103" t="s">
        <v>121</v>
      </c>
      <c r="N237" s="103" t="s">
        <v>657</v>
      </c>
    </row>
    <row r="238" spans="1:14" ht="18.75" customHeight="1" x14ac:dyDescent="0.25">
      <c r="A238" s="102" t="s">
        <v>687</v>
      </c>
      <c r="B238" s="103" t="s">
        <v>125</v>
      </c>
      <c r="C238" s="103" t="s">
        <v>126</v>
      </c>
      <c r="D238" s="103" t="s">
        <v>105</v>
      </c>
      <c r="E238" s="110" t="s">
        <v>121</v>
      </c>
      <c r="F238" s="103"/>
      <c r="G238" s="103" t="s">
        <v>688</v>
      </c>
      <c r="H238" s="103" t="s">
        <v>432</v>
      </c>
      <c r="I238" s="103" t="s">
        <v>455</v>
      </c>
      <c r="J238" s="199">
        <v>105</v>
      </c>
      <c r="K238" s="103"/>
      <c r="L238" s="103"/>
      <c r="M238" s="103"/>
      <c r="N238" s="103"/>
    </row>
    <row r="239" spans="1:14" ht="18.75" customHeight="1" x14ac:dyDescent="0.25">
      <c r="A239" s="102">
        <v>1</v>
      </c>
      <c r="B239" s="103" t="s">
        <v>127</v>
      </c>
      <c r="C239" s="103" t="s">
        <v>128</v>
      </c>
      <c r="D239" s="103" t="s">
        <v>129</v>
      </c>
      <c r="E239" s="110" t="s">
        <v>104</v>
      </c>
      <c r="F239" s="103"/>
      <c r="G239" s="103" t="s">
        <v>353</v>
      </c>
      <c r="H239" s="103" t="s">
        <v>354</v>
      </c>
      <c r="I239" s="103" t="s">
        <v>360</v>
      </c>
      <c r="J239" s="199">
        <v>55</v>
      </c>
      <c r="K239" s="103" t="s">
        <v>36</v>
      </c>
      <c r="L239" s="103" t="s">
        <v>656</v>
      </c>
      <c r="M239" s="103" t="s">
        <v>104</v>
      </c>
      <c r="N239" s="103" t="s">
        <v>657</v>
      </c>
    </row>
    <row r="240" spans="1:14" ht="18.75" customHeight="1" x14ac:dyDescent="0.25">
      <c r="A240" s="102">
        <v>2</v>
      </c>
      <c r="B240" s="103" t="s">
        <v>127</v>
      </c>
      <c r="C240" s="103" t="s">
        <v>128</v>
      </c>
      <c r="D240" s="103" t="s">
        <v>129</v>
      </c>
      <c r="E240" s="110" t="s">
        <v>104</v>
      </c>
      <c r="F240" s="103"/>
      <c r="G240" s="103" t="s">
        <v>363</v>
      </c>
      <c r="H240" s="103" t="s">
        <v>364</v>
      </c>
      <c r="I240" s="103" t="s">
        <v>367</v>
      </c>
      <c r="J240" s="199">
        <v>82</v>
      </c>
      <c r="K240" s="103" t="s">
        <v>480</v>
      </c>
      <c r="L240" s="103" t="s">
        <v>658</v>
      </c>
      <c r="M240" s="103" t="s">
        <v>412</v>
      </c>
      <c r="N240" s="103" t="s">
        <v>659</v>
      </c>
    </row>
    <row r="241" spans="1:14" ht="18.75" customHeight="1" x14ac:dyDescent="0.25">
      <c r="A241" s="102">
        <v>3</v>
      </c>
      <c r="B241" s="103" t="s">
        <v>127</v>
      </c>
      <c r="C241" s="103" t="s">
        <v>128</v>
      </c>
      <c r="D241" s="103" t="s">
        <v>129</v>
      </c>
      <c r="E241" s="110" t="s">
        <v>104</v>
      </c>
      <c r="F241" s="103"/>
      <c r="G241" s="103" t="s">
        <v>369</v>
      </c>
      <c r="H241" s="103" t="s">
        <v>370</v>
      </c>
      <c r="I241" s="103" t="s">
        <v>372</v>
      </c>
      <c r="J241" s="199">
        <v>47</v>
      </c>
      <c r="K241" s="103" t="s">
        <v>480</v>
      </c>
      <c r="L241" s="103" t="s">
        <v>658</v>
      </c>
      <c r="M241" s="103" t="s">
        <v>412</v>
      </c>
      <c r="N241" s="103" t="s">
        <v>659</v>
      </c>
    </row>
    <row r="242" spans="1:14" ht="18.75" customHeight="1" x14ac:dyDescent="0.25">
      <c r="A242" s="102">
        <v>4</v>
      </c>
      <c r="B242" s="103" t="s">
        <v>127</v>
      </c>
      <c r="C242" s="103" t="s">
        <v>128</v>
      </c>
      <c r="D242" s="103" t="s">
        <v>129</v>
      </c>
      <c r="E242" s="110" t="s">
        <v>104</v>
      </c>
      <c r="F242" s="103"/>
      <c r="G242" s="103" t="s">
        <v>374</v>
      </c>
      <c r="H242" s="103" t="s">
        <v>375</v>
      </c>
      <c r="I242" s="103" t="s">
        <v>377</v>
      </c>
      <c r="J242" s="199">
        <v>89</v>
      </c>
      <c r="K242" s="103" t="s">
        <v>36</v>
      </c>
      <c r="L242" s="103" t="s">
        <v>660</v>
      </c>
      <c r="M242" s="103" t="s">
        <v>104</v>
      </c>
      <c r="N242" s="103" t="s">
        <v>657</v>
      </c>
    </row>
    <row r="243" spans="1:14" ht="18.75" customHeight="1" x14ac:dyDescent="0.25">
      <c r="A243" s="102">
        <v>5</v>
      </c>
      <c r="B243" s="103" t="s">
        <v>127</v>
      </c>
      <c r="C243" s="103" t="s">
        <v>128</v>
      </c>
      <c r="D243" s="103" t="s">
        <v>129</v>
      </c>
      <c r="E243" s="110" t="s">
        <v>104</v>
      </c>
      <c r="F243" s="103"/>
      <c r="G243" s="103" t="s">
        <v>379</v>
      </c>
      <c r="H243" s="103" t="s">
        <v>380</v>
      </c>
      <c r="I243" s="103" t="s">
        <v>381</v>
      </c>
      <c r="J243" s="199">
        <v>36</v>
      </c>
      <c r="K243" s="103" t="s">
        <v>480</v>
      </c>
      <c r="L243" s="103" t="s">
        <v>658</v>
      </c>
      <c r="M243" s="103" t="s">
        <v>412</v>
      </c>
      <c r="N243" s="103" t="s">
        <v>659</v>
      </c>
    </row>
    <row r="244" spans="1:14" ht="18.75" customHeight="1" x14ac:dyDescent="0.25">
      <c r="A244" s="102">
        <v>6</v>
      </c>
      <c r="B244" s="103" t="s">
        <v>127</v>
      </c>
      <c r="C244" s="103" t="s">
        <v>128</v>
      </c>
      <c r="D244" s="103" t="s">
        <v>129</v>
      </c>
      <c r="E244" s="110" t="s">
        <v>104</v>
      </c>
      <c r="F244" s="103"/>
      <c r="G244" s="103" t="s">
        <v>383</v>
      </c>
      <c r="H244" s="103" t="s">
        <v>384</v>
      </c>
      <c r="I244" s="103" t="s">
        <v>385</v>
      </c>
      <c r="J244" s="199">
        <v>80</v>
      </c>
      <c r="K244" s="103" t="s">
        <v>36</v>
      </c>
      <c r="L244" s="103" t="s">
        <v>661</v>
      </c>
      <c r="M244" s="103" t="s">
        <v>104</v>
      </c>
      <c r="N244" s="103" t="s">
        <v>657</v>
      </c>
    </row>
    <row r="245" spans="1:14" ht="18.75" customHeight="1" x14ac:dyDescent="0.25">
      <c r="A245" s="102">
        <v>7</v>
      </c>
      <c r="B245" s="103" t="s">
        <v>127</v>
      </c>
      <c r="C245" s="103" t="s">
        <v>128</v>
      </c>
      <c r="D245" s="103" t="s">
        <v>129</v>
      </c>
      <c r="E245" s="110" t="s">
        <v>104</v>
      </c>
      <c r="F245" s="103"/>
      <c r="G245" s="103" t="s">
        <v>387</v>
      </c>
      <c r="H245" s="103" t="s">
        <v>388</v>
      </c>
      <c r="I245" s="103" t="s">
        <v>389</v>
      </c>
      <c r="J245" s="199">
        <v>51</v>
      </c>
      <c r="K245" s="103" t="s">
        <v>480</v>
      </c>
      <c r="L245" s="103" t="s">
        <v>658</v>
      </c>
      <c r="M245" s="103" t="s">
        <v>412</v>
      </c>
      <c r="N245" s="103" t="s">
        <v>659</v>
      </c>
    </row>
    <row r="246" spans="1:14" ht="4.5" customHeight="1" x14ac:dyDescent="0.25">
      <c r="A246" s="105">
        <v>8</v>
      </c>
      <c r="B246" s="105" t="s">
        <v>127</v>
      </c>
      <c r="C246" s="105" t="s">
        <v>128</v>
      </c>
      <c r="D246" s="105" t="s">
        <v>129</v>
      </c>
      <c r="E246" s="105" t="s">
        <v>104</v>
      </c>
      <c r="F246" s="105"/>
      <c r="G246" s="105" t="s">
        <v>391</v>
      </c>
      <c r="H246" s="105" t="s">
        <v>392</v>
      </c>
      <c r="I246" s="105" t="s">
        <v>393</v>
      </c>
      <c r="J246" s="201">
        <v>80</v>
      </c>
      <c r="K246" s="105" t="s">
        <v>480</v>
      </c>
      <c r="L246" s="105" t="s">
        <v>658</v>
      </c>
      <c r="M246" s="105" t="s">
        <v>412</v>
      </c>
      <c r="N246" s="105" t="s">
        <v>659</v>
      </c>
    </row>
    <row r="247" spans="1:14" ht="19.5" customHeight="1" x14ac:dyDescent="0.25">
      <c r="A247" s="259" t="s">
        <v>687</v>
      </c>
      <c r="B247" s="260"/>
      <c r="C247" s="260"/>
      <c r="D247" s="260"/>
      <c r="E247" s="260"/>
      <c r="F247" s="260"/>
      <c r="G247" s="260"/>
      <c r="H247" s="260"/>
      <c r="I247" s="260"/>
      <c r="J247" s="260"/>
      <c r="K247" s="260"/>
      <c r="L247" s="260"/>
      <c r="M247" s="260"/>
      <c r="N247" s="261"/>
    </row>
    <row r="248" spans="1:14" ht="18.75" customHeight="1" x14ac:dyDescent="0.25">
      <c r="A248" s="34">
        <v>10</v>
      </c>
      <c r="B248" s="35" t="s">
        <v>127</v>
      </c>
      <c r="C248" s="35" t="s">
        <v>128</v>
      </c>
      <c r="D248" s="35" t="s">
        <v>129</v>
      </c>
      <c r="E248" s="101" t="s">
        <v>104</v>
      </c>
      <c r="F248" s="35"/>
      <c r="G248" s="35" t="s">
        <v>399</v>
      </c>
      <c r="H248" s="35" t="s">
        <v>400</v>
      </c>
      <c r="I248" s="35" t="s">
        <v>372</v>
      </c>
      <c r="J248" s="198">
        <v>72</v>
      </c>
      <c r="K248" s="35" t="s">
        <v>480</v>
      </c>
      <c r="L248" s="35" t="s">
        <v>658</v>
      </c>
      <c r="M248" s="35" t="s">
        <v>412</v>
      </c>
      <c r="N248" s="35" t="s">
        <v>659</v>
      </c>
    </row>
    <row r="249" spans="1:14" ht="18.75" customHeight="1" x14ac:dyDescent="0.25">
      <c r="A249" s="106">
        <v>11</v>
      </c>
      <c r="B249" s="107" t="s">
        <v>127</v>
      </c>
      <c r="C249" s="107" t="s">
        <v>128</v>
      </c>
      <c r="D249" s="107" t="s">
        <v>129</v>
      </c>
      <c r="E249" s="108" t="s">
        <v>104</v>
      </c>
      <c r="F249" s="107"/>
      <c r="G249" s="107" t="s">
        <v>402</v>
      </c>
      <c r="H249" s="107" t="s">
        <v>403</v>
      </c>
      <c r="I249" s="107" t="s">
        <v>404</v>
      </c>
      <c r="J249" s="200">
        <v>44</v>
      </c>
      <c r="K249" s="107" t="s">
        <v>36</v>
      </c>
      <c r="L249" s="107" t="s">
        <v>663</v>
      </c>
      <c r="M249" s="107" t="s">
        <v>104</v>
      </c>
      <c r="N249" s="107" t="s">
        <v>657</v>
      </c>
    </row>
    <row r="250" spans="1:14" ht="18.75" customHeight="1" x14ac:dyDescent="0.25">
      <c r="A250" s="106">
        <v>12</v>
      </c>
      <c r="B250" s="107" t="s">
        <v>127</v>
      </c>
      <c r="C250" s="107" t="s">
        <v>128</v>
      </c>
      <c r="D250" s="107" t="s">
        <v>129</v>
      </c>
      <c r="E250" s="108" t="s">
        <v>104</v>
      </c>
      <c r="F250" s="107"/>
      <c r="G250" s="107" t="s">
        <v>406</v>
      </c>
      <c r="H250" s="107" t="s">
        <v>407</v>
      </c>
      <c r="I250" s="107" t="s">
        <v>367</v>
      </c>
      <c r="J250" s="200">
        <v>32</v>
      </c>
      <c r="K250" s="107" t="s">
        <v>480</v>
      </c>
      <c r="L250" s="107" t="s">
        <v>658</v>
      </c>
      <c r="M250" s="107" t="s">
        <v>412</v>
      </c>
      <c r="N250" s="107" t="s">
        <v>659</v>
      </c>
    </row>
    <row r="251" spans="1:14" ht="18.75" customHeight="1" x14ac:dyDescent="0.25">
      <c r="A251" s="106">
        <v>13</v>
      </c>
      <c r="B251" s="107" t="s">
        <v>127</v>
      </c>
      <c r="C251" s="107" t="s">
        <v>128</v>
      </c>
      <c r="D251" s="107" t="s">
        <v>129</v>
      </c>
      <c r="E251" s="108" t="s">
        <v>104</v>
      </c>
      <c r="F251" s="107"/>
      <c r="G251" s="107" t="s">
        <v>409</v>
      </c>
      <c r="H251" s="107" t="s">
        <v>410</v>
      </c>
      <c r="I251" s="107" t="s">
        <v>360</v>
      </c>
      <c r="J251" s="200">
        <v>32</v>
      </c>
      <c r="K251" s="107" t="s">
        <v>36</v>
      </c>
      <c r="L251" s="107" t="s">
        <v>664</v>
      </c>
      <c r="M251" s="107" t="s">
        <v>104</v>
      </c>
      <c r="N251" s="107" t="s">
        <v>657</v>
      </c>
    </row>
    <row r="252" spans="1:14" ht="18.75" customHeight="1" x14ac:dyDescent="0.25">
      <c r="A252" s="106">
        <v>14</v>
      </c>
      <c r="B252" s="107" t="s">
        <v>127</v>
      </c>
      <c r="C252" s="107" t="s">
        <v>128</v>
      </c>
      <c r="D252" s="107" t="s">
        <v>129</v>
      </c>
      <c r="E252" s="108" t="s">
        <v>104</v>
      </c>
      <c r="F252" s="107"/>
      <c r="G252" s="107" t="s">
        <v>415</v>
      </c>
      <c r="H252" s="107" t="s">
        <v>416</v>
      </c>
      <c r="I252" s="107" t="s">
        <v>385</v>
      </c>
      <c r="J252" s="200">
        <v>75</v>
      </c>
      <c r="K252" s="107" t="s">
        <v>36</v>
      </c>
      <c r="L252" s="107" t="s">
        <v>665</v>
      </c>
      <c r="M252" s="107" t="s">
        <v>104</v>
      </c>
      <c r="N252" s="107" t="s">
        <v>657</v>
      </c>
    </row>
    <row r="253" spans="1:14" ht="18.75" customHeight="1" x14ac:dyDescent="0.25">
      <c r="A253" s="106">
        <v>15</v>
      </c>
      <c r="B253" s="107" t="s">
        <v>127</v>
      </c>
      <c r="C253" s="107" t="s">
        <v>128</v>
      </c>
      <c r="D253" s="107" t="s">
        <v>129</v>
      </c>
      <c r="E253" s="108" t="s">
        <v>104</v>
      </c>
      <c r="F253" s="107"/>
      <c r="G253" s="107" t="s">
        <v>418</v>
      </c>
      <c r="H253" s="107" t="s">
        <v>419</v>
      </c>
      <c r="I253" s="107" t="s">
        <v>421</v>
      </c>
      <c r="J253" s="200">
        <v>65</v>
      </c>
      <c r="K253" s="107" t="s">
        <v>480</v>
      </c>
      <c r="L253" s="107" t="s">
        <v>658</v>
      </c>
      <c r="M253" s="107" t="s">
        <v>412</v>
      </c>
      <c r="N253" s="107" t="s">
        <v>659</v>
      </c>
    </row>
    <row r="254" spans="1:14" ht="18.75" customHeight="1" x14ac:dyDescent="0.25">
      <c r="A254" s="106">
        <v>16</v>
      </c>
      <c r="B254" s="107" t="s">
        <v>127</v>
      </c>
      <c r="C254" s="107" t="s">
        <v>128</v>
      </c>
      <c r="D254" s="107" t="s">
        <v>129</v>
      </c>
      <c r="E254" s="108" t="s">
        <v>104</v>
      </c>
      <c r="F254" s="107"/>
      <c r="G254" s="107" t="s">
        <v>423</v>
      </c>
      <c r="H254" s="107" t="s">
        <v>424</v>
      </c>
      <c r="I254" s="107" t="s">
        <v>425</v>
      </c>
      <c r="J254" s="200">
        <v>74</v>
      </c>
      <c r="K254" s="107" t="s">
        <v>36</v>
      </c>
      <c r="L254" s="107" t="s">
        <v>666</v>
      </c>
      <c r="M254" s="107" t="s">
        <v>104</v>
      </c>
      <c r="N254" s="107" t="s">
        <v>657</v>
      </c>
    </row>
    <row r="255" spans="1:14" ht="18.75" customHeight="1" x14ac:dyDescent="0.25">
      <c r="A255" s="106">
        <v>17</v>
      </c>
      <c r="B255" s="107" t="s">
        <v>127</v>
      </c>
      <c r="C255" s="107" t="s">
        <v>128</v>
      </c>
      <c r="D255" s="107" t="s">
        <v>129</v>
      </c>
      <c r="E255" s="108" t="s">
        <v>104</v>
      </c>
      <c r="F255" s="107"/>
      <c r="G255" s="107" t="s">
        <v>427</v>
      </c>
      <c r="H255" s="107" t="s">
        <v>428</v>
      </c>
      <c r="I255" s="107" t="s">
        <v>429</v>
      </c>
      <c r="J255" s="200">
        <v>72</v>
      </c>
      <c r="K255" s="107" t="s">
        <v>480</v>
      </c>
      <c r="L255" s="107" t="s">
        <v>658</v>
      </c>
      <c r="M255" s="107" t="s">
        <v>412</v>
      </c>
      <c r="N255" s="107" t="s">
        <v>659</v>
      </c>
    </row>
    <row r="256" spans="1:14" ht="18.75" customHeight="1" x14ac:dyDescent="0.25">
      <c r="A256" s="106">
        <v>18</v>
      </c>
      <c r="B256" s="107" t="s">
        <v>127</v>
      </c>
      <c r="C256" s="107" t="s">
        <v>128</v>
      </c>
      <c r="D256" s="107" t="s">
        <v>129</v>
      </c>
      <c r="E256" s="108" t="s">
        <v>104</v>
      </c>
      <c r="F256" s="107"/>
      <c r="G256" s="107" t="s">
        <v>431</v>
      </c>
      <c r="H256" s="107" t="s">
        <v>432</v>
      </c>
      <c r="I256" s="107" t="s">
        <v>360</v>
      </c>
      <c r="J256" s="200">
        <v>79</v>
      </c>
      <c r="K256" s="107" t="s">
        <v>36</v>
      </c>
      <c r="L256" s="107" t="s">
        <v>667</v>
      </c>
      <c r="M256" s="107" t="s">
        <v>104</v>
      </c>
      <c r="N256" s="107" t="s">
        <v>657</v>
      </c>
    </row>
    <row r="257" spans="1:14" ht="18.75" customHeight="1" x14ac:dyDescent="0.25">
      <c r="A257" s="106">
        <v>19</v>
      </c>
      <c r="B257" s="107" t="s">
        <v>127</v>
      </c>
      <c r="C257" s="107" t="s">
        <v>128</v>
      </c>
      <c r="D257" s="107" t="s">
        <v>129</v>
      </c>
      <c r="E257" s="108" t="s">
        <v>104</v>
      </c>
      <c r="F257" s="107"/>
      <c r="G257" s="107" t="s">
        <v>434</v>
      </c>
      <c r="H257" s="107" t="s">
        <v>435</v>
      </c>
      <c r="I257" s="107" t="s">
        <v>436</v>
      </c>
      <c r="J257" s="200">
        <v>26</v>
      </c>
      <c r="K257" s="107" t="s">
        <v>480</v>
      </c>
      <c r="L257" s="107" t="s">
        <v>658</v>
      </c>
      <c r="M257" s="107" t="s">
        <v>412</v>
      </c>
      <c r="N257" s="107" t="s">
        <v>659</v>
      </c>
    </row>
    <row r="258" spans="1:14" ht="18.75" customHeight="1" x14ac:dyDescent="0.25">
      <c r="A258" s="106">
        <v>20</v>
      </c>
      <c r="B258" s="107" t="s">
        <v>127</v>
      </c>
      <c r="C258" s="107" t="s">
        <v>128</v>
      </c>
      <c r="D258" s="107" t="s">
        <v>129</v>
      </c>
      <c r="E258" s="108" t="s">
        <v>104</v>
      </c>
      <c r="F258" s="107"/>
      <c r="G258" s="107" t="s">
        <v>438</v>
      </c>
      <c r="H258" s="107" t="s">
        <v>439</v>
      </c>
      <c r="I258" s="107" t="s">
        <v>440</v>
      </c>
      <c r="J258" s="200">
        <v>32</v>
      </c>
      <c r="K258" s="107" t="s">
        <v>36</v>
      </c>
      <c r="L258" s="107" t="s">
        <v>668</v>
      </c>
      <c r="M258" s="107" t="s">
        <v>104</v>
      </c>
      <c r="N258" s="107" t="s">
        <v>657</v>
      </c>
    </row>
    <row r="259" spans="1:14" ht="18.75" customHeight="1" x14ac:dyDescent="0.25">
      <c r="A259" s="106">
        <v>21</v>
      </c>
      <c r="B259" s="107" t="s">
        <v>127</v>
      </c>
      <c r="C259" s="107" t="s">
        <v>128</v>
      </c>
      <c r="D259" s="107" t="s">
        <v>129</v>
      </c>
      <c r="E259" s="108" t="s">
        <v>104</v>
      </c>
      <c r="F259" s="107"/>
      <c r="G259" s="107" t="s">
        <v>442</v>
      </c>
      <c r="H259" s="107" t="s">
        <v>443</v>
      </c>
      <c r="I259" s="107" t="s">
        <v>381</v>
      </c>
      <c r="J259" s="200">
        <v>27</v>
      </c>
      <c r="K259" s="107" t="s">
        <v>480</v>
      </c>
      <c r="L259" s="107" t="s">
        <v>658</v>
      </c>
      <c r="M259" s="107" t="s">
        <v>412</v>
      </c>
      <c r="N259" s="107" t="s">
        <v>659</v>
      </c>
    </row>
    <row r="260" spans="1:14" ht="18.75" customHeight="1" x14ac:dyDescent="0.25">
      <c r="A260" s="106">
        <v>22</v>
      </c>
      <c r="B260" s="107" t="s">
        <v>127</v>
      </c>
      <c r="C260" s="107" t="s">
        <v>128</v>
      </c>
      <c r="D260" s="107" t="s">
        <v>129</v>
      </c>
      <c r="E260" s="108" t="s">
        <v>104</v>
      </c>
      <c r="F260" s="107"/>
      <c r="G260" s="107" t="s">
        <v>445</v>
      </c>
      <c r="H260" s="107" t="s">
        <v>446</v>
      </c>
      <c r="I260" s="107" t="s">
        <v>372</v>
      </c>
      <c r="J260" s="200">
        <v>71</v>
      </c>
      <c r="K260" s="107" t="s">
        <v>36</v>
      </c>
      <c r="L260" s="107" t="s">
        <v>669</v>
      </c>
      <c r="M260" s="107" t="s">
        <v>104</v>
      </c>
      <c r="N260" s="107" t="s">
        <v>657</v>
      </c>
    </row>
    <row r="261" spans="1:14" ht="18.75" customHeight="1" x14ac:dyDescent="0.25">
      <c r="A261" s="106">
        <v>23</v>
      </c>
      <c r="B261" s="107" t="s">
        <v>127</v>
      </c>
      <c r="C261" s="107" t="s">
        <v>128</v>
      </c>
      <c r="D261" s="107" t="s">
        <v>129</v>
      </c>
      <c r="E261" s="108" t="s">
        <v>104</v>
      </c>
      <c r="F261" s="107"/>
      <c r="G261" s="107" t="s">
        <v>449</v>
      </c>
      <c r="H261" s="107" t="s">
        <v>450</v>
      </c>
      <c r="I261" s="107" t="s">
        <v>451</v>
      </c>
      <c r="J261" s="200">
        <v>63</v>
      </c>
      <c r="K261" s="107" t="s">
        <v>36</v>
      </c>
      <c r="L261" s="107" t="s">
        <v>670</v>
      </c>
      <c r="M261" s="107" t="s">
        <v>104</v>
      </c>
      <c r="N261" s="107" t="s">
        <v>657</v>
      </c>
    </row>
    <row r="262" spans="1:14" ht="18.75" customHeight="1" x14ac:dyDescent="0.25">
      <c r="A262" s="106">
        <v>24</v>
      </c>
      <c r="B262" s="107" t="s">
        <v>127</v>
      </c>
      <c r="C262" s="107" t="s">
        <v>128</v>
      </c>
      <c r="D262" s="107" t="s">
        <v>129</v>
      </c>
      <c r="E262" s="108" t="s">
        <v>104</v>
      </c>
      <c r="F262" s="107"/>
      <c r="G262" s="107" t="s">
        <v>453</v>
      </c>
      <c r="H262" s="107" t="s">
        <v>454</v>
      </c>
      <c r="I262" s="107" t="s">
        <v>455</v>
      </c>
      <c r="J262" s="200">
        <v>33</v>
      </c>
      <c r="K262" s="107" t="s">
        <v>480</v>
      </c>
      <c r="L262" s="107" t="s">
        <v>658</v>
      </c>
      <c r="M262" s="107" t="s">
        <v>412</v>
      </c>
      <c r="N262" s="107" t="s">
        <v>659</v>
      </c>
    </row>
    <row r="263" spans="1:14" ht="18.75" customHeight="1" x14ac:dyDescent="0.25">
      <c r="A263" s="106">
        <v>25</v>
      </c>
      <c r="B263" s="107" t="s">
        <v>127</v>
      </c>
      <c r="C263" s="107" t="s">
        <v>128</v>
      </c>
      <c r="D263" s="107" t="s">
        <v>129</v>
      </c>
      <c r="E263" s="108" t="s">
        <v>104</v>
      </c>
      <c r="F263" s="107"/>
      <c r="G263" s="107" t="s">
        <v>457</v>
      </c>
      <c r="H263" s="107" t="s">
        <v>458</v>
      </c>
      <c r="I263" s="107" t="s">
        <v>459</v>
      </c>
      <c r="J263" s="200">
        <v>51</v>
      </c>
      <c r="K263" s="107" t="s">
        <v>36</v>
      </c>
      <c r="L263" s="107" t="s">
        <v>671</v>
      </c>
      <c r="M263" s="107" t="s">
        <v>104</v>
      </c>
      <c r="N263" s="107" t="s">
        <v>657</v>
      </c>
    </row>
    <row r="264" spans="1:14" ht="4.5" customHeight="1" x14ac:dyDescent="0.25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</row>
    <row r="266" spans="1:14" ht="26.1" customHeight="1" x14ac:dyDescent="0.25">
      <c r="A266" s="258" t="s">
        <v>691</v>
      </c>
      <c r="B266" s="237"/>
      <c r="C266" s="237"/>
      <c r="D266" s="237"/>
      <c r="E266" s="237"/>
      <c r="F266" s="237"/>
      <c r="G266" s="237"/>
      <c r="H266" s="237"/>
      <c r="I266" s="237"/>
      <c r="J266" s="237"/>
      <c r="K266" s="237"/>
      <c r="L266" s="237"/>
      <c r="M266" s="237"/>
      <c r="N266" s="237"/>
    </row>
    <row r="267" spans="1:14" ht="32.1" customHeight="1" x14ac:dyDescent="0.25">
      <c r="A267" s="232" t="s">
        <v>17</v>
      </c>
      <c r="B267" s="232" t="s">
        <v>18</v>
      </c>
      <c r="C267" s="232" t="s">
        <v>692</v>
      </c>
      <c r="D267" s="232" t="s">
        <v>693</v>
      </c>
      <c r="E267" s="232" t="s">
        <v>694</v>
      </c>
      <c r="F267" s="232" t="s">
        <v>695</v>
      </c>
      <c r="G267" s="232" t="s">
        <v>623</v>
      </c>
      <c r="H267" s="232" t="s">
        <v>696</v>
      </c>
      <c r="I267" s="232" t="s">
        <v>697</v>
      </c>
      <c r="J267" s="232" t="s">
        <v>698</v>
      </c>
      <c r="K267" s="232" t="s">
        <v>699</v>
      </c>
      <c r="L267" s="232" t="s">
        <v>700</v>
      </c>
    </row>
    <row r="268" spans="1:14" s="235" customFormat="1" ht="30" customHeight="1" x14ac:dyDescent="0.25">
      <c r="A268" s="233">
        <v>1</v>
      </c>
      <c r="B268" s="234" t="s">
        <v>101</v>
      </c>
      <c r="C268" s="234" t="s">
        <v>103</v>
      </c>
      <c r="D268" s="233">
        <v>25</v>
      </c>
      <c r="E268" s="233">
        <f>COUNTIF(K5:K268,"PASS")</f>
        <v>126</v>
      </c>
      <c r="F268" s="233">
        <f>COUNTIF(K5:K268,"FAIL")</f>
        <v>115</v>
      </c>
      <c r="G268" s="233">
        <f>COUNTIF(K5:K268,"PARTIAL")</f>
        <v>0</v>
      </c>
      <c r="H268" s="233">
        <f t="shared" ref="H268:H277" si="0">IF(D268&gt;0,ROUND(E268/D268*100,1),0)</f>
        <v>504</v>
      </c>
      <c r="I268" s="234" t="s">
        <v>353</v>
      </c>
      <c r="J268" s="234" t="s">
        <v>363</v>
      </c>
      <c r="K268" s="233" t="s">
        <v>121</v>
      </c>
      <c r="L268" s="234" t="s">
        <v>701</v>
      </c>
    </row>
    <row r="269" spans="1:14" ht="30" customHeight="1" x14ac:dyDescent="0.25">
      <c r="A269" s="202">
        <v>2</v>
      </c>
      <c r="B269" s="203" t="s">
        <v>107</v>
      </c>
      <c r="C269" s="203" t="s">
        <v>108</v>
      </c>
      <c r="D269" s="202">
        <v>25</v>
      </c>
      <c r="E269" s="202">
        <f>COUNTIF(K32:K269,"PASS")</f>
        <v>113</v>
      </c>
      <c r="F269" s="202">
        <f>COUNTIF(K32:K269,"FAIL")</f>
        <v>103</v>
      </c>
      <c r="G269" s="202">
        <f>COUNTIF(K32:K269,"PARTIAL")</f>
        <v>0</v>
      </c>
      <c r="H269" s="202">
        <f t="shared" si="0"/>
        <v>452</v>
      </c>
      <c r="I269" s="203" t="s">
        <v>374</v>
      </c>
      <c r="J269" s="203" t="s">
        <v>363</v>
      </c>
      <c r="K269" s="202" t="s">
        <v>121</v>
      </c>
      <c r="L269" s="203" t="s">
        <v>701</v>
      </c>
    </row>
    <row r="270" spans="1:14" s="235" customFormat="1" ht="30" customHeight="1" x14ac:dyDescent="0.25">
      <c r="A270" s="233">
        <v>3</v>
      </c>
      <c r="B270" s="234" t="s">
        <v>109</v>
      </c>
      <c r="C270" s="234" t="s">
        <v>110</v>
      </c>
      <c r="D270" s="233">
        <v>25</v>
      </c>
      <c r="E270" s="233">
        <f>COUNTIF(K57:K270,"PASS")</f>
        <v>101</v>
      </c>
      <c r="F270" s="233">
        <f>COUNTIF(K57:K270,"FAIL")</f>
        <v>91</v>
      </c>
      <c r="G270" s="233">
        <f>COUNTIF(K57:K270,"PARTIAL")</f>
        <v>0</v>
      </c>
      <c r="H270" s="233">
        <f t="shared" si="0"/>
        <v>404</v>
      </c>
      <c r="I270" s="234" t="s">
        <v>353</v>
      </c>
      <c r="J270" s="234" t="s">
        <v>369</v>
      </c>
      <c r="K270" s="233" t="s">
        <v>121</v>
      </c>
      <c r="L270" s="234" t="s">
        <v>702</v>
      </c>
    </row>
    <row r="271" spans="1:14" ht="30" customHeight="1" x14ac:dyDescent="0.25">
      <c r="A271" s="202">
        <v>4</v>
      </c>
      <c r="B271" s="203" t="s">
        <v>47</v>
      </c>
      <c r="C271" s="203" t="s">
        <v>112</v>
      </c>
      <c r="D271" s="202">
        <v>25</v>
      </c>
      <c r="E271" s="202">
        <f>COUNTIF(K83:K271,"PASS")</f>
        <v>88</v>
      </c>
      <c r="F271" s="202">
        <f>COUNTIF(K83:K271,"FAIL")</f>
        <v>80</v>
      </c>
      <c r="G271" s="202">
        <f>COUNTIF(K83:K271,"PARTIAL")</f>
        <v>0</v>
      </c>
      <c r="H271" s="202">
        <f t="shared" si="0"/>
        <v>352</v>
      </c>
      <c r="I271" s="203" t="s">
        <v>353</v>
      </c>
      <c r="J271" s="203" t="s">
        <v>363</v>
      </c>
      <c r="K271" s="202" t="s">
        <v>121</v>
      </c>
      <c r="L271" s="203" t="s">
        <v>702</v>
      </c>
    </row>
    <row r="272" spans="1:14" s="235" customFormat="1" ht="30" customHeight="1" x14ac:dyDescent="0.25">
      <c r="A272" s="233">
        <v>5</v>
      </c>
      <c r="B272" s="234" t="s">
        <v>114</v>
      </c>
      <c r="C272" s="234" t="s">
        <v>115</v>
      </c>
      <c r="D272" s="233">
        <v>25</v>
      </c>
      <c r="E272" s="233">
        <f>COUNTIF(K109:K272,"PASS")</f>
        <v>75</v>
      </c>
      <c r="F272" s="233">
        <f>COUNTIF(K109:K272,"FAIL")</f>
        <v>69</v>
      </c>
      <c r="G272" s="233">
        <f>COUNTIF(K109:K272,"PARTIAL")</f>
        <v>0</v>
      </c>
      <c r="H272" s="233">
        <f t="shared" si="0"/>
        <v>300</v>
      </c>
      <c r="I272" s="234" t="s">
        <v>353</v>
      </c>
      <c r="J272" s="234" t="s">
        <v>363</v>
      </c>
      <c r="K272" s="233" t="s">
        <v>121</v>
      </c>
      <c r="L272" s="234" t="s">
        <v>703</v>
      </c>
    </row>
    <row r="273" spans="1:12" ht="30" customHeight="1" x14ac:dyDescent="0.25">
      <c r="A273" s="202">
        <v>6</v>
      </c>
      <c r="B273" s="203" t="s">
        <v>117</v>
      </c>
      <c r="C273" s="203" t="s">
        <v>118</v>
      </c>
      <c r="D273" s="202">
        <v>25</v>
      </c>
      <c r="E273" s="202">
        <f>COUNTIF(K135:K273,"PASS")</f>
        <v>63</v>
      </c>
      <c r="F273" s="202">
        <f>COUNTIF(K135:K273,"FAIL")</f>
        <v>57</v>
      </c>
      <c r="G273" s="202">
        <f>COUNTIF(K135:K273,"PARTIAL")</f>
        <v>0</v>
      </c>
      <c r="H273" s="202">
        <f t="shared" si="0"/>
        <v>252</v>
      </c>
      <c r="I273" s="203" t="s">
        <v>353</v>
      </c>
      <c r="J273" s="203" t="s">
        <v>363</v>
      </c>
      <c r="K273" s="202" t="s">
        <v>121</v>
      </c>
      <c r="L273" s="203" t="s">
        <v>702</v>
      </c>
    </row>
    <row r="274" spans="1:12" s="235" customFormat="1" ht="30" customHeight="1" x14ac:dyDescent="0.25">
      <c r="A274" s="233">
        <v>7</v>
      </c>
      <c r="B274" s="234" t="s">
        <v>119</v>
      </c>
      <c r="C274" s="234" t="s">
        <v>120</v>
      </c>
      <c r="D274" s="233">
        <v>25</v>
      </c>
      <c r="E274" s="233">
        <f>COUNTIF(K161:K274,"PASS")</f>
        <v>50</v>
      </c>
      <c r="F274" s="233">
        <f>COUNTIF(K161:K274,"FAIL")</f>
        <v>46</v>
      </c>
      <c r="G274" s="233">
        <f>COUNTIF(K161:K274,"PARTIAL")</f>
        <v>0</v>
      </c>
      <c r="H274" s="233">
        <f t="shared" si="0"/>
        <v>200</v>
      </c>
      <c r="I274" s="234" t="s">
        <v>353</v>
      </c>
      <c r="J274" s="234" t="s">
        <v>363</v>
      </c>
      <c r="K274" s="233" t="s">
        <v>209</v>
      </c>
      <c r="L274" s="234" t="s">
        <v>702</v>
      </c>
    </row>
    <row r="275" spans="1:12" ht="30" customHeight="1" x14ac:dyDescent="0.25">
      <c r="A275" s="202">
        <v>8</v>
      </c>
      <c r="B275" s="203" t="s">
        <v>123</v>
      </c>
      <c r="C275" s="203" t="s">
        <v>124</v>
      </c>
      <c r="D275" s="202">
        <v>25</v>
      </c>
      <c r="E275" s="202">
        <f>COUNTIF(K187:K275,"PASS")</f>
        <v>38</v>
      </c>
      <c r="F275" s="202">
        <f>COUNTIF(K187:K275,"FAIL")</f>
        <v>34</v>
      </c>
      <c r="G275" s="202">
        <f>COUNTIF(K187:K275,"PARTIAL")</f>
        <v>0</v>
      </c>
      <c r="H275" s="202">
        <f t="shared" si="0"/>
        <v>152</v>
      </c>
      <c r="I275" s="203" t="s">
        <v>353</v>
      </c>
      <c r="J275" s="203" t="s">
        <v>363</v>
      </c>
      <c r="K275" s="202" t="s">
        <v>121</v>
      </c>
      <c r="L275" s="203" t="s">
        <v>702</v>
      </c>
    </row>
    <row r="276" spans="1:12" s="235" customFormat="1" ht="30" customHeight="1" x14ac:dyDescent="0.25">
      <c r="A276" s="233">
        <v>9</v>
      </c>
      <c r="B276" s="234" t="s">
        <v>125</v>
      </c>
      <c r="C276" s="234" t="s">
        <v>126</v>
      </c>
      <c r="D276" s="233">
        <v>25</v>
      </c>
      <c r="E276" s="233">
        <f>COUNTIF(K213:K276,"PASS")</f>
        <v>25</v>
      </c>
      <c r="F276" s="233">
        <f>COUNTIF(K213:K276,"FAIL")</f>
        <v>23</v>
      </c>
      <c r="G276" s="233">
        <f>COUNTIF(K213:K276,"PARTIAL")</f>
        <v>0</v>
      </c>
      <c r="H276" s="233">
        <f t="shared" si="0"/>
        <v>100</v>
      </c>
      <c r="I276" s="234" t="s">
        <v>353</v>
      </c>
      <c r="J276" s="234" t="s">
        <v>363</v>
      </c>
      <c r="K276" s="233" t="s">
        <v>209</v>
      </c>
      <c r="L276" s="234" t="s">
        <v>702</v>
      </c>
    </row>
    <row r="277" spans="1:12" ht="30" customHeight="1" x14ac:dyDescent="0.25">
      <c r="A277" s="202">
        <v>10</v>
      </c>
      <c r="B277" s="203" t="s">
        <v>127</v>
      </c>
      <c r="C277" s="203" t="s">
        <v>128</v>
      </c>
      <c r="D277" s="202">
        <v>25</v>
      </c>
      <c r="E277" s="202">
        <f>COUNTIF(K239:K277,"PASS")</f>
        <v>12</v>
      </c>
      <c r="F277" s="202">
        <f>COUNTIF(K239:K277,"FAIL")</f>
        <v>12</v>
      </c>
      <c r="G277" s="202">
        <f>COUNTIF(K239:K277,"PARTIAL")</f>
        <v>0</v>
      </c>
      <c r="H277" s="202">
        <f t="shared" si="0"/>
        <v>48</v>
      </c>
      <c r="I277" s="203" t="s">
        <v>353</v>
      </c>
      <c r="J277" s="203" t="s">
        <v>363</v>
      </c>
      <c r="K277" s="202" t="s">
        <v>121</v>
      </c>
      <c r="L277" s="203" t="s">
        <v>702</v>
      </c>
    </row>
    <row r="278" spans="1:12" ht="45" x14ac:dyDescent="0.25">
      <c r="H278" s="292" t="s">
        <v>894</v>
      </c>
    </row>
  </sheetData>
  <mergeCells count="13">
    <mergeCell ref="A1:N1"/>
    <mergeCell ref="A266:N266"/>
    <mergeCell ref="A85:N85"/>
    <mergeCell ref="A247:N247"/>
    <mergeCell ref="A193:N193"/>
    <mergeCell ref="A220:N220"/>
    <mergeCell ref="A31:N31"/>
    <mergeCell ref="A4:N4"/>
    <mergeCell ref="A139:N139"/>
    <mergeCell ref="A2:N2"/>
    <mergeCell ref="A166:N166"/>
    <mergeCell ref="A112:N112"/>
    <mergeCell ref="A58:N58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175"/>
  <sheetViews>
    <sheetView zoomScaleNormal="100" workbookViewId="0">
      <pane xSplit="1" ySplit="3" topLeftCell="B160" activePane="bottomRight" state="frozen"/>
      <selection pane="topRight" activeCell="B1" sqref="B1"/>
      <selection pane="bottomLeft" activeCell="A156" sqref="A156"/>
      <selection pane="bottomRight" activeCell="F178" sqref="F178"/>
    </sheetView>
  </sheetViews>
  <sheetFormatPr defaultColWidth="8.7109375" defaultRowHeight="15" x14ac:dyDescent="0.25"/>
  <cols>
    <col min="1" max="1" width="4" customWidth="1"/>
    <col min="2" max="2" width="28" customWidth="1"/>
    <col min="3" max="3" width="24" customWidth="1"/>
    <col min="4" max="4" width="18" customWidth="1"/>
    <col min="5" max="5" width="10" customWidth="1"/>
    <col min="6" max="6" width="11" customWidth="1"/>
    <col min="7" max="7" width="22" customWidth="1"/>
    <col min="8" max="8" width="20" customWidth="1"/>
    <col min="9" max="10" width="22" customWidth="1"/>
    <col min="11" max="11" width="14" customWidth="1"/>
    <col min="12" max="12" width="32" customWidth="1"/>
    <col min="13" max="13" width="14" customWidth="1"/>
    <col min="14" max="14" width="28" customWidth="1"/>
  </cols>
  <sheetData>
    <row r="1" spans="1:14" ht="37.5" customHeight="1" x14ac:dyDescent="0.25">
      <c r="A1" s="263" t="s">
        <v>704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</row>
    <row r="2" spans="1:14" ht="15.75" customHeight="1" x14ac:dyDescent="0.25">
      <c r="A2" s="266" t="s">
        <v>648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</row>
    <row r="3" spans="1:14" ht="33.75" customHeight="1" x14ac:dyDescent="0.25">
      <c r="A3" s="111" t="s">
        <v>17</v>
      </c>
      <c r="B3" s="111" t="s">
        <v>18</v>
      </c>
      <c r="C3" s="111" t="s">
        <v>97</v>
      </c>
      <c r="D3" s="111" t="s">
        <v>649</v>
      </c>
      <c r="E3" s="111" t="s">
        <v>98</v>
      </c>
      <c r="F3" s="111" t="s">
        <v>650</v>
      </c>
      <c r="G3" s="111" t="s">
        <v>464</v>
      </c>
      <c r="H3" s="111" t="s">
        <v>465</v>
      </c>
      <c r="I3" s="111" t="s">
        <v>651</v>
      </c>
      <c r="J3" s="111" t="s">
        <v>24</v>
      </c>
      <c r="K3" s="111" t="s">
        <v>652</v>
      </c>
      <c r="L3" s="111" t="s">
        <v>26</v>
      </c>
      <c r="M3" s="111" t="s">
        <v>653</v>
      </c>
      <c r="N3" s="111" t="s">
        <v>654</v>
      </c>
    </row>
    <row r="4" spans="1:14" ht="19.5" customHeight="1" x14ac:dyDescent="0.25">
      <c r="A4" s="264" t="s">
        <v>705</v>
      </c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1"/>
    </row>
    <row r="5" spans="1:14" ht="18.75" customHeight="1" x14ac:dyDescent="0.25">
      <c r="A5" s="34">
        <v>1</v>
      </c>
      <c r="B5" s="35" t="s">
        <v>130</v>
      </c>
      <c r="C5" s="35" t="s">
        <v>132</v>
      </c>
      <c r="D5" s="35" t="s">
        <v>129</v>
      </c>
      <c r="E5" s="101" t="s">
        <v>104</v>
      </c>
      <c r="F5" s="35"/>
      <c r="G5" s="35" t="s">
        <v>353</v>
      </c>
      <c r="H5" s="35" t="s">
        <v>354</v>
      </c>
      <c r="I5" s="35" t="s">
        <v>360</v>
      </c>
      <c r="J5" s="198">
        <v>15</v>
      </c>
      <c r="K5" s="35" t="s">
        <v>36</v>
      </c>
      <c r="L5" s="35" t="s">
        <v>656</v>
      </c>
      <c r="M5" s="35" t="s">
        <v>104</v>
      </c>
      <c r="N5" s="35" t="s">
        <v>657</v>
      </c>
    </row>
    <row r="6" spans="1:14" ht="18.75" customHeight="1" x14ac:dyDescent="0.25">
      <c r="A6" s="112">
        <v>2</v>
      </c>
      <c r="B6" s="113" t="s">
        <v>130</v>
      </c>
      <c r="C6" s="113" t="s">
        <v>132</v>
      </c>
      <c r="D6" s="113" t="s">
        <v>129</v>
      </c>
      <c r="E6" s="114" t="s">
        <v>104</v>
      </c>
      <c r="F6" s="113"/>
      <c r="G6" s="113" t="s">
        <v>363</v>
      </c>
      <c r="H6" s="113" t="s">
        <v>364</v>
      </c>
      <c r="I6" s="113" t="s">
        <v>367</v>
      </c>
      <c r="J6" s="204">
        <v>23</v>
      </c>
      <c r="K6" s="113" t="s">
        <v>480</v>
      </c>
      <c r="L6" s="113" t="s">
        <v>658</v>
      </c>
      <c r="M6" s="113" t="s">
        <v>412</v>
      </c>
      <c r="N6" s="113" t="s">
        <v>659</v>
      </c>
    </row>
    <row r="7" spans="1:14" ht="18.75" customHeight="1" x14ac:dyDescent="0.25">
      <c r="A7" s="112">
        <v>3</v>
      </c>
      <c r="B7" s="113" t="s">
        <v>130</v>
      </c>
      <c r="C7" s="113" t="s">
        <v>132</v>
      </c>
      <c r="D7" s="113" t="s">
        <v>129</v>
      </c>
      <c r="E7" s="114" t="s">
        <v>104</v>
      </c>
      <c r="F7" s="113"/>
      <c r="G7" s="113" t="s">
        <v>369</v>
      </c>
      <c r="H7" s="113" t="s">
        <v>370</v>
      </c>
      <c r="I7" s="113" t="s">
        <v>372</v>
      </c>
      <c r="J7" s="204">
        <v>25</v>
      </c>
      <c r="K7" s="113" t="s">
        <v>480</v>
      </c>
      <c r="L7" s="113" t="s">
        <v>658</v>
      </c>
      <c r="M7" s="113" t="s">
        <v>412</v>
      </c>
      <c r="N7" s="113" t="s">
        <v>659</v>
      </c>
    </row>
    <row r="8" spans="1:14" ht="18.75" customHeight="1" x14ac:dyDescent="0.25">
      <c r="A8" s="112">
        <v>4</v>
      </c>
      <c r="B8" s="113" t="s">
        <v>130</v>
      </c>
      <c r="C8" s="113" t="s">
        <v>132</v>
      </c>
      <c r="D8" s="113" t="s">
        <v>129</v>
      </c>
      <c r="E8" s="114" t="s">
        <v>104</v>
      </c>
      <c r="F8" s="113"/>
      <c r="G8" s="113" t="s">
        <v>374</v>
      </c>
      <c r="H8" s="113" t="s">
        <v>375</v>
      </c>
      <c r="I8" s="113" t="s">
        <v>377</v>
      </c>
      <c r="J8" s="204">
        <v>25</v>
      </c>
      <c r="K8" s="113" t="s">
        <v>36</v>
      </c>
      <c r="L8" s="113" t="s">
        <v>660</v>
      </c>
      <c r="M8" s="113" t="s">
        <v>104</v>
      </c>
      <c r="N8" s="113" t="s">
        <v>657</v>
      </c>
    </row>
    <row r="9" spans="1:14" ht="18.75" customHeight="1" x14ac:dyDescent="0.25">
      <c r="A9" s="112">
        <v>5</v>
      </c>
      <c r="B9" s="113" t="s">
        <v>130</v>
      </c>
      <c r="C9" s="113" t="s">
        <v>132</v>
      </c>
      <c r="D9" s="113" t="s">
        <v>129</v>
      </c>
      <c r="E9" s="114" t="s">
        <v>104</v>
      </c>
      <c r="F9" s="113"/>
      <c r="G9" s="113" t="s">
        <v>379</v>
      </c>
      <c r="H9" s="113" t="s">
        <v>380</v>
      </c>
      <c r="I9" s="113" t="s">
        <v>381</v>
      </c>
      <c r="J9" s="204">
        <v>16</v>
      </c>
      <c r="K9" s="113" t="s">
        <v>480</v>
      </c>
      <c r="L9" s="113" t="s">
        <v>658</v>
      </c>
      <c r="M9" s="113" t="s">
        <v>412</v>
      </c>
      <c r="N9" s="113" t="s">
        <v>659</v>
      </c>
    </row>
    <row r="10" spans="1:14" ht="18.75" customHeight="1" x14ac:dyDescent="0.25">
      <c r="A10" s="112">
        <v>6</v>
      </c>
      <c r="B10" s="113" t="s">
        <v>130</v>
      </c>
      <c r="C10" s="113" t="s">
        <v>132</v>
      </c>
      <c r="D10" s="113" t="s">
        <v>129</v>
      </c>
      <c r="E10" s="114" t="s">
        <v>104</v>
      </c>
      <c r="F10" s="113"/>
      <c r="G10" s="113" t="s">
        <v>383</v>
      </c>
      <c r="H10" s="113" t="s">
        <v>384</v>
      </c>
      <c r="I10" s="113" t="s">
        <v>385</v>
      </c>
      <c r="J10" s="204">
        <v>22</v>
      </c>
      <c r="K10" s="113" t="s">
        <v>36</v>
      </c>
      <c r="L10" s="113" t="s">
        <v>661</v>
      </c>
      <c r="M10" s="113" t="s">
        <v>104</v>
      </c>
      <c r="N10" s="113" t="s">
        <v>657</v>
      </c>
    </row>
    <row r="11" spans="1:14" ht="18.75" customHeight="1" x14ac:dyDescent="0.25">
      <c r="A11" s="112">
        <v>7</v>
      </c>
      <c r="B11" s="113" t="s">
        <v>130</v>
      </c>
      <c r="C11" s="113" t="s">
        <v>132</v>
      </c>
      <c r="D11" s="113" t="s">
        <v>129</v>
      </c>
      <c r="E11" s="114" t="s">
        <v>104</v>
      </c>
      <c r="F11" s="113"/>
      <c r="G11" s="113" t="s">
        <v>387</v>
      </c>
      <c r="H11" s="113" t="s">
        <v>388</v>
      </c>
      <c r="I11" s="113" t="s">
        <v>389</v>
      </c>
      <c r="J11" s="204">
        <v>11</v>
      </c>
      <c r="K11" s="113" t="s">
        <v>480</v>
      </c>
      <c r="L11" s="113" t="s">
        <v>658</v>
      </c>
      <c r="M11" s="113" t="s">
        <v>412</v>
      </c>
      <c r="N11" s="113" t="s">
        <v>659</v>
      </c>
    </row>
    <row r="12" spans="1:14" ht="18.75" customHeight="1" x14ac:dyDescent="0.25">
      <c r="A12" s="112">
        <v>8</v>
      </c>
      <c r="B12" s="113" t="s">
        <v>130</v>
      </c>
      <c r="C12" s="113" t="s">
        <v>132</v>
      </c>
      <c r="D12" s="113" t="s">
        <v>129</v>
      </c>
      <c r="E12" s="114" t="s">
        <v>104</v>
      </c>
      <c r="F12" s="113"/>
      <c r="G12" s="113" t="s">
        <v>391</v>
      </c>
      <c r="H12" s="113" t="s">
        <v>392</v>
      </c>
      <c r="I12" s="113" t="s">
        <v>393</v>
      </c>
      <c r="J12" s="204">
        <v>15</v>
      </c>
      <c r="K12" s="113" t="s">
        <v>480</v>
      </c>
      <c r="L12" s="113" t="s">
        <v>658</v>
      </c>
      <c r="M12" s="113" t="s">
        <v>412</v>
      </c>
      <c r="N12" s="113" t="s">
        <v>659</v>
      </c>
    </row>
    <row r="13" spans="1:14" ht="18.75" customHeight="1" x14ac:dyDescent="0.25">
      <c r="A13" s="112">
        <v>9</v>
      </c>
      <c r="B13" s="113" t="s">
        <v>130</v>
      </c>
      <c r="C13" s="113" t="s">
        <v>132</v>
      </c>
      <c r="D13" s="113" t="s">
        <v>129</v>
      </c>
      <c r="E13" s="114" t="s">
        <v>104</v>
      </c>
      <c r="F13" s="113"/>
      <c r="G13" s="113" t="s">
        <v>395</v>
      </c>
      <c r="H13" s="113" t="s">
        <v>396</v>
      </c>
      <c r="I13" s="113" t="s">
        <v>360</v>
      </c>
      <c r="J13" s="204">
        <v>22</v>
      </c>
      <c r="K13" s="113" t="s">
        <v>36</v>
      </c>
      <c r="L13" s="113" t="s">
        <v>662</v>
      </c>
      <c r="M13" s="113" t="s">
        <v>104</v>
      </c>
      <c r="N13" s="113" t="s">
        <v>657</v>
      </c>
    </row>
    <row r="14" spans="1:14" ht="18.75" customHeight="1" x14ac:dyDescent="0.25">
      <c r="A14" s="112">
        <v>10</v>
      </c>
      <c r="B14" s="113" t="s">
        <v>130</v>
      </c>
      <c r="C14" s="113" t="s">
        <v>132</v>
      </c>
      <c r="D14" s="113" t="s">
        <v>129</v>
      </c>
      <c r="E14" s="114" t="s">
        <v>104</v>
      </c>
      <c r="F14" s="113"/>
      <c r="G14" s="113" t="s">
        <v>399</v>
      </c>
      <c r="H14" s="113" t="s">
        <v>400</v>
      </c>
      <c r="I14" s="113" t="s">
        <v>372</v>
      </c>
      <c r="J14" s="204">
        <v>10</v>
      </c>
      <c r="K14" s="113" t="s">
        <v>480</v>
      </c>
      <c r="L14" s="113" t="s">
        <v>658</v>
      </c>
      <c r="M14" s="113" t="s">
        <v>412</v>
      </c>
      <c r="N14" s="113" t="s">
        <v>659</v>
      </c>
    </row>
    <row r="15" spans="1:14" ht="18.75" customHeight="1" x14ac:dyDescent="0.25">
      <c r="A15" s="112">
        <v>11</v>
      </c>
      <c r="B15" s="113" t="s">
        <v>130</v>
      </c>
      <c r="C15" s="113" t="s">
        <v>132</v>
      </c>
      <c r="D15" s="113" t="s">
        <v>129</v>
      </c>
      <c r="E15" s="114" t="s">
        <v>104</v>
      </c>
      <c r="F15" s="113"/>
      <c r="G15" s="113" t="s">
        <v>402</v>
      </c>
      <c r="H15" s="113" t="s">
        <v>403</v>
      </c>
      <c r="I15" s="113" t="s">
        <v>404</v>
      </c>
      <c r="J15" s="204">
        <v>22</v>
      </c>
      <c r="K15" s="113" t="s">
        <v>36</v>
      </c>
      <c r="L15" s="113" t="s">
        <v>663</v>
      </c>
      <c r="M15" s="113" t="s">
        <v>104</v>
      </c>
      <c r="N15" s="113" t="s">
        <v>657</v>
      </c>
    </row>
    <row r="16" spans="1:14" ht="18.75" customHeight="1" x14ac:dyDescent="0.25">
      <c r="A16" s="112">
        <v>12</v>
      </c>
      <c r="B16" s="113" t="s">
        <v>130</v>
      </c>
      <c r="C16" s="113" t="s">
        <v>132</v>
      </c>
      <c r="D16" s="113" t="s">
        <v>129</v>
      </c>
      <c r="E16" s="114" t="s">
        <v>104</v>
      </c>
      <c r="F16" s="113"/>
      <c r="G16" s="113" t="s">
        <v>406</v>
      </c>
      <c r="H16" s="113" t="s">
        <v>407</v>
      </c>
      <c r="I16" s="113" t="s">
        <v>367</v>
      </c>
      <c r="J16" s="204">
        <v>18</v>
      </c>
      <c r="K16" s="113" t="s">
        <v>480</v>
      </c>
      <c r="L16" s="113" t="s">
        <v>658</v>
      </c>
      <c r="M16" s="113" t="s">
        <v>412</v>
      </c>
      <c r="N16" s="113" t="s">
        <v>659</v>
      </c>
    </row>
    <row r="17" spans="1:14" ht="18.75" customHeight="1" x14ac:dyDescent="0.25">
      <c r="A17" s="112">
        <v>13</v>
      </c>
      <c r="B17" s="113" t="s">
        <v>130</v>
      </c>
      <c r="C17" s="113" t="s">
        <v>132</v>
      </c>
      <c r="D17" s="113" t="s">
        <v>129</v>
      </c>
      <c r="E17" s="114" t="s">
        <v>104</v>
      </c>
      <c r="F17" s="113"/>
      <c r="G17" s="113" t="s">
        <v>409</v>
      </c>
      <c r="H17" s="113" t="s">
        <v>410</v>
      </c>
      <c r="I17" s="113" t="s">
        <v>360</v>
      </c>
      <c r="J17" s="204">
        <v>24</v>
      </c>
      <c r="K17" s="113" t="s">
        <v>36</v>
      </c>
      <c r="L17" s="113" t="s">
        <v>664</v>
      </c>
      <c r="M17" s="113" t="s">
        <v>104</v>
      </c>
      <c r="N17" s="113" t="s">
        <v>657</v>
      </c>
    </row>
    <row r="18" spans="1:14" ht="18.75" customHeight="1" x14ac:dyDescent="0.25">
      <c r="A18" s="112">
        <v>14</v>
      </c>
      <c r="B18" s="113" t="s">
        <v>130</v>
      </c>
      <c r="C18" s="113" t="s">
        <v>132</v>
      </c>
      <c r="D18" s="113" t="s">
        <v>129</v>
      </c>
      <c r="E18" s="114" t="s">
        <v>104</v>
      </c>
      <c r="F18" s="113"/>
      <c r="G18" s="113" t="s">
        <v>415</v>
      </c>
      <c r="H18" s="113" t="s">
        <v>416</v>
      </c>
      <c r="I18" s="113" t="s">
        <v>385</v>
      </c>
      <c r="J18" s="204">
        <v>19</v>
      </c>
      <c r="K18" s="113" t="s">
        <v>36</v>
      </c>
      <c r="L18" s="113" t="s">
        <v>665</v>
      </c>
      <c r="M18" s="113" t="s">
        <v>104</v>
      </c>
      <c r="N18" s="113" t="s">
        <v>657</v>
      </c>
    </row>
    <row r="19" spans="1:14" ht="18.75" customHeight="1" x14ac:dyDescent="0.25">
      <c r="A19" s="112">
        <v>15</v>
      </c>
      <c r="B19" s="113" t="s">
        <v>130</v>
      </c>
      <c r="C19" s="113" t="s">
        <v>132</v>
      </c>
      <c r="D19" s="113" t="s">
        <v>129</v>
      </c>
      <c r="E19" s="114" t="s">
        <v>104</v>
      </c>
      <c r="F19" s="113"/>
      <c r="G19" s="113" t="s">
        <v>418</v>
      </c>
      <c r="H19" s="113" t="s">
        <v>419</v>
      </c>
      <c r="I19" s="113" t="s">
        <v>421</v>
      </c>
      <c r="J19" s="204">
        <v>23</v>
      </c>
      <c r="K19" s="113" t="s">
        <v>480</v>
      </c>
      <c r="L19" s="113" t="s">
        <v>658</v>
      </c>
      <c r="M19" s="113" t="s">
        <v>412</v>
      </c>
      <c r="N19" s="113" t="s">
        <v>659</v>
      </c>
    </row>
    <row r="20" spans="1:14" ht="18.75" customHeight="1" x14ac:dyDescent="0.25">
      <c r="A20" s="112">
        <v>16</v>
      </c>
      <c r="B20" s="113" t="s">
        <v>130</v>
      </c>
      <c r="C20" s="113" t="s">
        <v>132</v>
      </c>
      <c r="D20" s="113" t="s">
        <v>129</v>
      </c>
      <c r="E20" s="114" t="s">
        <v>104</v>
      </c>
      <c r="F20" s="113"/>
      <c r="G20" s="113" t="s">
        <v>423</v>
      </c>
      <c r="H20" s="113" t="s">
        <v>424</v>
      </c>
      <c r="I20" s="113" t="s">
        <v>425</v>
      </c>
      <c r="J20" s="204">
        <v>27</v>
      </c>
      <c r="K20" s="113" t="s">
        <v>36</v>
      </c>
      <c r="L20" s="113" t="s">
        <v>666</v>
      </c>
      <c r="M20" s="113" t="s">
        <v>104</v>
      </c>
      <c r="N20" s="113" t="s">
        <v>657</v>
      </c>
    </row>
    <row r="21" spans="1:14" ht="18.75" customHeight="1" x14ac:dyDescent="0.25">
      <c r="A21" s="112">
        <v>17</v>
      </c>
      <c r="B21" s="113" t="s">
        <v>130</v>
      </c>
      <c r="C21" s="113" t="s">
        <v>132</v>
      </c>
      <c r="D21" s="113" t="s">
        <v>129</v>
      </c>
      <c r="E21" s="114" t="s">
        <v>104</v>
      </c>
      <c r="F21" s="113"/>
      <c r="G21" s="113" t="s">
        <v>427</v>
      </c>
      <c r="H21" s="113" t="s">
        <v>428</v>
      </c>
      <c r="I21" s="113" t="s">
        <v>429</v>
      </c>
      <c r="J21" s="204">
        <v>25</v>
      </c>
      <c r="K21" s="113" t="s">
        <v>480</v>
      </c>
      <c r="L21" s="113" t="s">
        <v>658</v>
      </c>
      <c r="M21" s="113" t="s">
        <v>412</v>
      </c>
      <c r="N21" s="113" t="s">
        <v>659</v>
      </c>
    </row>
    <row r="22" spans="1:14" ht="18.75" customHeight="1" x14ac:dyDescent="0.25">
      <c r="A22" s="112">
        <v>18</v>
      </c>
      <c r="B22" s="113" t="s">
        <v>130</v>
      </c>
      <c r="C22" s="113" t="s">
        <v>132</v>
      </c>
      <c r="D22" s="113" t="s">
        <v>129</v>
      </c>
      <c r="E22" s="114" t="s">
        <v>104</v>
      </c>
      <c r="F22" s="113"/>
      <c r="G22" s="113" t="s">
        <v>431</v>
      </c>
      <c r="H22" s="113" t="s">
        <v>432</v>
      </c>
      <c r="I22" s="113" t="s">
        <v>360</v>
      </c>
      <c r="J22" s="204">
        <v>14</v>
      </c>
      <c r="K22" s="113" t="s">
        <v>36</v>
      </c>
      <c r="L22" s="113" t="s">
        <v>667</v>
      </c>
      <c r="M22" s="113" t="s">
        <v>104</v>
      </c>
      <c r="N22" s="113" t="s">
        <v>657</v>
      </c>
    </row>
    <row r="23" spans="1:14" ht="18.75" customHeight="1" x14ac:dyDescent="0.25">
      <c r="A23" s="112">
        <v>19</v>
      </c>
      <c r="B23" s="113" t="s">
        <v>130</v>
      </c>
      <c r="C23" s="113" t="s">
        <v>132</v>
      </c>
      <c r="D23" s="113" t="s">
        <v>129</v>
      </c>
      <c r="E23" s="114" t="s">
        <v>104</v>
      </c>
      <c r="F23" s="113"/>
      <c r="G23" s="113" t="s">
        <v>434</v>
      </c>
      <c r="H23" s="113" t="s">
        <v>435</v>
      </c>
      <c r="I23" s="113" t="s">
        <v>436</v>
      </c>
      <c r="J23" s="204">
        <v>16</v>
      </c>
      <c r="K23" s="113" t="s">
        <v>480</v>
      </c>
      <c r="L23" s="113" t="s">
        <v>658</v>
      </c>
      <c r="M23" s="113" t="s">
        <v>412</v>
      </c>
      <c r="N23" s="113" t="s">
        <v>659</v>
      </c>
    </row>
    <row r="24" spans="1:14" ht="18.75" customHeight="1" x14ac:dyDescent="0.25">
      <c r="A24" s="112">
        <v>20</v>
      </c>
      <c r="B24" s="113" t="s">
        <v>130</v>
      </c>
      <c r="C24" s="113" t="s">
        <v>132</v>
      </c>
      <c r="D24" s="113" t="s">
        <v>129</v>
      </c>
      <c r="E24" s="114" t="s">
        <v>104</v>
      </c>
      <c r="F24" s="113"/>
      <c r="G24" s="113" t="s">
        <v>438</v>
      </c>
      <c r="H24" s="113" t="s">
        <v>439</v>
      </c>
      <c r="I24" s="113" t="s">
        <v>440</v>
      </c>
      <c r="J24" s="204">
        <v>19</v>
      </c>
      <c r="K24" s="113" t="s">
        <v>36</v>
      </c>
      <c r="L24" s="113" t="s">
        <v>668</v>
      </c>
      <c r="M24" s="113" t="s">
        <v>104</v>
      </c>
      <c r="N24" s="113" t="s">
        <v>657</v>
      </c>
    </row>
    <row r="25" spans="1:14" ht="18.75" customHeight="1" x14ac:dyDescent="0.25">
      <c r="A25" s="112">
        <v>21</v>
      </c>
      <c r="B25" s="113" t="s">
        <v>130</v>
      </c>
      <c r="C25" s="113" t="s">
        <v>132</v>
      </c>
      <c r="D25" s="113" t="s">
        <v>129</v>
      </c>
      <c r="E25" s="114" t="s">
        <v>104</v>
      </c>
      <c r="F25" s="113"/>
      <c r="G25" s="113" t="s">
        <v>442</v>
      </c>
      <c r="H25" s="113" t="s">
        <v>443</v>
      </c>
      <c r="I25" s="113" t="s">
        <v>381</v>
      </c>
      <c r="J25" s="204">
        <v>16</v>
      </c>
      <c r="K25" s="113" t="s">
        <v>480</v>
      </c>
      <c r="L25" s="113" t="s">
        <v>658</v>
      </c>
      <c r="M25" s="113" t="s">
        <v>412</v>
      </c>
      <c r="N25" s="113" t="s">
        <v>659</v>
      </c>
    </row>
    <row r="26" spans="1:14" ht="18.75" customHeight="1" x14ac:dyDescent="0.25">
      <c r="A26" s="112">
        <v>22</v>
      </c>
      <c r="B26" s="113" t="s">
        <v>130</v>
      </c>
      <c r="C26" s="113" t="s">
        <v>132</v>
      </c>
      <c r="D26" s="113" t="s">
        <v>129</v>
      </c>
      <c r="E26" s="114" t="s">
        <v>104</v>
      </c>
      <c r="F26" s="113"/>
      <c r="G26" s="113" t="s">
        <v>445</v>
      </c>
      <c r="H26" s="113" t="s">
        <v>446</v>
      </c>
      <c r="I26" s="113" t="s">
        <v>372</v>
      </c>
      <c r="J26" s="204">
        <v>11</v>
      </c>
      <c r="K26" s="113" t="s">
        <v>36</v>
      </c>
      <c r="L26" s="113" t="s">
        <v>669</v>
      </c>
      <c r="M26" s="113" t="s">
        <v>104</v>
      </c>
      <c r="N26" s="113" t="s">
        <v>657</v>
      </c>
    </row>
    <row r="27" spans="1:14" ht="18.75" customHeight="1" x14ac:dyDescent="0.25">
      <c r="A27" s="112">
        <v>23</v>
      </c>
      <c r="B27" s="113" t="s">
        <v>130</v>
      </c>
      <c r="C27" s="113" t="s">
        <v>132</v>
      </c>
      <c r="D27" s="113" t="s">
        <v>129</v>
      </c>
      <c r="E27" s="114" t="s">
        <v>104</v>
      </c>
      <c r="F27" s="113"/>
      <c r="G27" s="113" t="s">
        <v>449</v>
      </c>
      <c r="H27" s="113" t="s">
        <v>450</v>
      </c>
      <c r="I27" s="113" t="s">
        <v>451</v>
      </c>
      <c r="J27" s="204">
        <v>28</v>
      </c>
      <c r="K27" s="113" t="s">
        <v>36</v>
      </c>
      <c r="L27" s="113" t="s">
        <v>670</v>
      </c>
      <c r="M27" s="113" t="s">
        <v>104</v>
      </c>
      <c r="N27" s="113" t="s">
        <v>657</v>
      </c>
    </row>
    <row r="28" spans="1:14" ht="18.75" customHeight="1" x14ac:dyDescent="0.25">
      <c r="A28" s="112">
        <v>24</v>
      </c>
      <c r="B28" s="113" t="s">
        <v>130</v>
      </c>
      <c r="C28" s="113" t="s">
        <v>132</v>
      </c>
      <c r="D28" s="113" t="s">
        <v>129</v>
      </c>
      <c r="E28" s="114" t="s">
        <v>104</v>
      </c>
      <c r="F28" s="113"/>
      <c r="G28" s="113" t="s">
        <v>453</v>
      </c>
      <c r="H28" s="113" t="s">
        <v>454</v>
      </c>
      <c r="I28" s="113" t="s">
        <v>455</v>
      </c>
      <c r="J28" s="204">
        <v>27</v>
      </c>
      <c r="K28" s="113" t="s">
        <v>480</v>
      </c>
      <c r="L28" s="113" t="s">
        <v>658</v>
      </c>
      <c r="M28" s="113" t="s">
        <v>412</v>
      </c>
      <c r="N28" s="113" t="s">
        <v>659</v>
      </c>
    </row>
    <row r="29" spans="1:14" ht="18.75" customHeight="1" x14ac:dyDescent="0.25">
      <c r="A29" s="112">
        <v>25</v>
      </c>
      <c r="B29" s="113" t="s">
        <v>130</v>
      </c>
      <c r="C29" s="113" t="s">
        <v>132</v>
      </c>
      <c r="D29" s="113" t="s">
        <v>129</v>
      </c>
      <c r="E29" s="114" t="s">
        <v>104</v>
      </c>
      <c r="F29" s="113"/>
      <c r="G29" s="113" t="s">
        <v>457</v>
      </c>
      <c r="H29" s="113" t="s">
        <v>458</v>
      </c>
      <c r="I29" s="113" t="s">
        <v>459</v>
      </c>
      <c r="J29" s="204">
        <v>11</v>
      </c>
      <c r="K29" s="113" t="s">
        <v>36</v>
      </c>
      <c r="L29" s="113" t="s">
        <v>671</v>
      </c>
      <c r="M29" s="113" t="s">
        <v>104</v>
      </c>
      <c r="N29" s="113" t="s">
        <v>657</v>
      </c>
    </row>
    <row r="30" spans="1:14" ht="4.5" customHeight="1" x14ac:dyDescent="0.25">
      <c r="A30" s="105" t="s">
        <v>706</v>
      </c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</row>
    <row r="31" spans="1:14" ht="19.5" customHeight="1" x14ac:dyDescent="0.25">
      <c r="A31" s="264" t="s">
        <v>706</v>
      </c>
      <c r="B31" s="260"/>
      <c r="C31" s="260"/>
      <c r="D31" s="260"/>
      <c r="E31" s="260"/>
      <c r="F31" s="260"/>
      <c r="G31" s="260"/>
      <c r="H31" s="260"/>
      <c r="I31" s="260"/>
      <c r="J31" s="260"/>
      <c r="K31" s="260"/>
      <c r="L31" s="260"/>
      <c r="M31" s="260"/>
      <c r="N31" s="261"/>
    </row>
    <row r="32" spans="1:14" ht="18.75" customHeight="1" x14ac:dyDescent="0.25">
      <c r="A32" s="34">
        <v>2</v>
      </c>
      <c r="B32" s="35" t="s">
        <v>134</v>
      </c>
      <c r="C32" s="35" t="s">
        <v>135</v>
      </c>
      <c r="D32" s="35" t="s">
        <v>129</v>
      </c>
      <c r="E32" s="101" t="s">
        <v>104</v>
      </c>
      <c r="F32" s="35"/>
      <c r="G32" s="35" t="s">
        <v>363</v>
      </c>
      <c r="H32" s="35" t="s">
        <v>364</v>
      </c>
      <c r="I32" s="35" t="s">
        <v>367</v>
      </c>
      <c r="J32" s="198">
        <v>38</v>
      </c>
      <c r="K32" s="35" t="s">
        <v>480</v>
      </c>
      <c r="L32" s="35" t="s">
        <v>658</v>
      </c>
      <c r="M32" s="35" t="s">
        <v>412</v>
      </c>
      <c r="N32" s="35" t="s">
        <v>659</v>
      </c>
    </row>
    <row r="33" spans="1:14" ht="18.75" customHeight="1" x14ac:dyDescent="0.25">
      <c r="A33" s="115">
        <v>3</v>
      </c>
      <c r="B33" s="116" t="s">
        <v>134</v>
      </c>
      <c r="C33" s="116" t="s">
        <v>135</v>
      </c>
      <c r="D33" s="116" t="s">
        <v>129</v>
      </c>
      <c r="E33" s="117" t="s">
        <v>104</v>
      </c>
      <c r="F33" s="116"/>
      <c r="G33" s="116" t="s">
        <v>369</v>
      </c>
      <c r="H33" s="116" t="s">
        <v>370</v>
      </c>
      <c r="I33" s="116" t="s">
        <v>372</v>
      </c>
      <c r="J33" s="205">
        <v>25</v>
      </c>
      <c r="K33" s="116" t="s">
        <v>480</v>
      </c>
      <c r="L33" s="116" t="s">
        <v>658</v>
      </c>
      <c r="M33" s="116" t="s">
        <v>412</v>
      </c>
      <c r="N33" s="116" t="s">
        <v>659</v>
      </c>
    </row>
    <row r="34" spans="1:14" ht="18.75" customHeight="1" x14ac:dyDescent="0.25">
      <c r="A34" s="115">
        <v>4</v>
      </c>
      <c r="B34" s="116" t="s">
        <v>134</v>
      </c>
      <c r="C34" s="116" t="s">
        <v>135</v>
      </c>
      <c r="D34" s="116" t="s">
        <v>129</v>
      </c>
      <c r="E34" s="117" t="s">
        <v>104</v>
      </c>
      <c r="F34" s="116"/>
      <c r="G34" s="116" t="s">
        <v>374</v>
      </c>
      <c r="H34" s="116" t="s">
        <v>375</v>
      </c>
      <c r="I34" s="116" t="s">
        <v>377</v>
      </c>
      <c r="J34" s="205">
        <v>16</v>
      </c>
      <c r="K34" s="116" t="s">
        <v>36</v>
      </c>
      <c r="L34" s="116" t="s">
        <v>660</v>
      </c>
      <c r="M34" s="116" t="s">
        <v>104</v>
      </c>
      <c r="N34" s="116" t="s">
        <v>657</v>
      </c>
    </row>
    <row r="35" spans="1:14" ht="18.75" customHeight="1" x14ac:dyDescent="0.25">
      <c r="A35" s="115">
        <v>5</v>
      </c>
      <c r="B35" s="116" t="s">
        <v>134</v>
      </c>
      <c r="C35" s="116" t="s">
        <v>135</v>
      </c>
      <c r="D35" s="116" t="s">
        <v>129</v>
      </c>
      <c r="E35" s="117" t="s">
        <v>104</v>
      </c>
      <c r="F35" s="116"/>
      <c r="G35" s="116" t="s">
        <v>379</v>
      </c>
      <c r="H35" s="116" t="s">
        <v>380</v>
      </c>
      <c r="I35" s="116" t="s">
        <v>381</v>
      </c>
      <c r="J35" s="205">
        <v>16</v>
      </c>
      <c r="K35" s="116" t="s">
        <v>480</v>
      </c>
      <c r="L35" s="116" t="s">
        <v>658</v>
      </c>
      <c r="M35" s="116" t="s">
        <v>412</v>
      </c>
      <c r="N35" s="116" t="s">
        <v>659</v>
      </c>
    </row>
    <row r="36" spans="1:14" ht="18.75" customHeight="1" x14ac:dyDescent="0.25">
      <c r="A36" s="115">
        <v>6</v>
      </c>
      <c r="B36" s="116" t="s">
        <v>134</v>
      </c>
      <c r="C36" s="116" t="s">
        <v>135</v>
      </c>
      <c r="D36" s="116" t="s">
        <v>129</v>
      </c>
      <c r="E36" s="117" t="s">
        <v>104</v>
      </c>
      <c r="F36" s="116"/>
      <c r="G36" s="116" t="s">
        <v>383</v>
      </c>
      <c r="H36" s="116" t="s">
        <v>384</v>
      </c>
      <c r="I36" s="116" t="s">
        <v>385</v>
      </c>
      <c r="J36" s="205">
        <v>33</v>
      </c>
      <c r="K36" s="116" t="s">
        <v>36</v>
      </c>
      <c r="L36" s="116" t="s">
        <v>661</v>
      </c>
      <c r="M36" s="116" t="s">
        <v>104</v>
      </c>
      <c r="N36" s="116" t="s">
        <v>657</v>
      </c>
    </row>
    <row r="37" spans="1:14" ht="18.75" customHeight="1" x14ac:dyDescent="0.25">
      <c r="A37" s="115">
        <v>7</v>
      </c>
      <c r="B37" s="116" t="s">
        <v>134</v>
      </c>
      <c r="C37" s="116" t="s">
        <v>135</v>
      </c>
      <c r="D37" s="116" t="s">
        <v>129</v>
      </c>
      <c r="E37" s="117" t="s">
        <v>104</v>
      </c>
      <c r="F37" s="116"/>
      <c r="G37" s="116" t="s">
        <v>387</v>
      </c>
      <c r="H37" s="116" t="s">
        <v>388</v>
      </c>
      <c r="I37" s="116" t="s">
        <v>389</v>
      </c>
      <c r="J37" s="205">
        <v>30</v>
      </c>
      <c r="K37" s="116" t="s">
        <v>480</v>
      </c>
      <c r="L37" s="116" t="s">
        <v>658</v>
      </c>
      <c r="M37" s="116" t="s">
        <v>412</v>
      </c>
      <c r="N37" s="116" t="s">
        <v>659</v>
      </c>
    </row>
    <row r="38" spans="1:14" ht="18.75" customHeight="1" x14ac:dyDescent="0.25">
      <c r="A38" s="115">
        <v>8</v>
      </c>
      <c r="B38" s="116" t="s">
        <v>134</v>
      </c>
      <c r="C38" s="116" t="s">
        <v>135</v>
      </c>
      <c r="D38" s="116" t="s">
        <v>129</v>
      </c>
      <c r="E38" s="117" t="s">
        <v>104</v>
      </c>
      <c r="F38" s="116"/>
      <c r="G38" s="116" t="s">
        <v>391</v>
      </c>
      <c r="H38" s="116" t="s">
        <v>392</v>
      </c>
      <c r="I38" s="116" t="s">
        <v>393</v>
      </c>
      <c r="J38" s="205">
        <v>31</v>
      </c>
      <c r="K38" s="116" t="s">
        <v>480</v>
      </c>
      <c r="L38" s="116" t="s">
        <v>658</v>
      </c>
      <c r="M38" s="116" t="s">
        <v>412</v>
      </c>
      <c r="N38" s="116" t="s">
        <v>659</v>
      </c>
    </row>
    <row r="39" spans="1:14" ht="18.75" customHeight="1" x14ac:dyDescent="0.25">
      <c r="A39" s="115">
        <v>9</v>
      </c>
      <c r="B39" s="116" t="s">
        <v>134</v>
      </c>
      <c r="C39" s="116" t="s">
        <v>135</v>
      </c>
      <c r="D39" s="116" t="s">
        <v>129</v>
      </c>
      <c r="E39" s="117" t="s">
        <v>104</v>
      </c>
      <c r="F39" s="116"/>
      <c r="G39" s="116" t="s">
        <v>395</v>
      </c>
      <c r="H39" s="116" t="s">
        <v>396</v>
      </c>
      <c r="I39" s="116" t="s">
        <v>360</v>
      </c>
      <c r="J39" s="205">
        <v>44</v>
      </c>
      <c r="K39" s="116" t="s">
        <v>36</v>
      </c>
      <c r="L39" s="116" t="s">
        <v>662</v>
      </c>
      <c r="M39" s="116" t="s">
        <v>104</v>
      </c>
      <c r="N39" s="116" t="s">
        <v>657</v>
      </c>
    </row>
    <row r="40" spans="1:14" ht="18.75" customHeight="1" x14ac:dyDescent="0.25">
      <c r="A40" s="115">
        <v>10</v>
      </c>
      <c r="B40" s="116" t="s">
        <v>134</v>
      </c>
      <c r="C40" s="116" t="s">
        <v>135</v>
      </c>
      <c r="D40" s="116" t="s">
        <v>129</v>
      </c>
      <c r="E40" s="117" t="s">
        <v>104</v>
      </c>
      <c r="F40" s="116"/>
      <c r="G40" s="116" t="s">
        <v>399</v>
      </c>
      <c r="H40" s="116" t="s">
        <v>400</v>
      </c>
      <c r="I40" s="116" t="s">
        <v>372</v>
      </c>
      <c r="J40" s="205">
        <v>42</v>
      </c>
      <c r="K40" s="116" t="s">
        <v>480</v>
      </c>
      <c r="L40" s="116" t="s">
        <v>658</v>
      </c>
      <c r="M40" s="116" t="s">
        <v>412</v>
      </c>
      <c r="N40" s="116" t="s">
        <v>659</v>
      </c>
    </row>
    <row r="41" spans="1:14" ht="18.75" customHeight="1" x14ac:dyDescent="0.25">
      <c r="A41" s="115">
        <v>11</v>
      </c>
      <c r="B41" s="116" t="s">
        <v>134</v>
      </c>
      <c r="C41" s="116" t="s">
        <v>135</v>
      </c>
      <c r="D41" s="116" t="s">
        <v>129</v>
      </c>
      <c r="E41" s="117" t="s">
        <v>104</v>
      </c>
      <c r="F41" s="116"/>
      <c r="G41" s="116" t="s">
        <v>402</v>
      </c>
      <c r="H41" s="116" t="s">
        <v>403</v>
      </c>
      <c r="I41" s="116" t="s">
        <v>404</v>
      </c>
      <c r="J41" s="205">
        <v>31</v>
      </c>
      <c r="K41" s="116" t="s">
        <v>36</v>
      </c>
      <c r="L41" s="116" t="s">
        <v>663</v>
      </c>
      <c r="M41" s="116" t="s">
        <v>104</v>
      </c>
      <c r="N41" s="116" t="s">
        <v>657</v>
      </c>
    </row>
    <row r="42" spans="1:14" ht="18.75" customHeight="1" x14ac:dyDescent="0.25">
      <c r="A42" s="115">
        <v>12</v>
      </c>
      <c r="B42" s="116" t="s">
        <v>134</v>
      </c>
      <c r="C42" s="116" t="s">
        <v>135</v>
      </c>
      <c r="D42" s="116" t="s">
        <v>129</v>
      </c>
      <c r="E42" s="117" t="s">
        <v>104</v>
      </c>
      <c r="F42" s="116"/>
      <c r="G42" s="116" t="s">
        <v>406</v>
      </c>
      <c r="H42" s="116" t="s">
        <v>407</v>
      </c>
      <c r="I42" s="116" t="s">
        <v>367</v>
      </c>
      <c r="J42" s="205">
        <v>20</v>
      </c>
      <c r="K42" s="116" t="s">
        <v>480</v>
      </c>
      <c r="L42" s="116" t="s">
        <v>658</v>
      </c>
      <c r="M42" s="116" t="s">
        <v>412</v>
      </c>
      <c r="N42" s="116" t="s">
        <v>659</v>
      </c>
    </row>
    <row r="43" spans="1:14" ht="18.75" customHeight="1" x14ac:dyDescent="0.25">
      <c r="A43" s="115">
        <v>13</v>
      </c>
      <c r="B43" s="116" t="s">
        <v>134</v>
      </c>
      <c r="C43" s="116" t="s">
        <v>135</v>
      </c>
      <c r="D43" s="116" t="s">
        <v>129</v>
      </c>
      <c r="E43" s="117" t="s">
        <v>104</v>
      </c>
      <c r="F43" s="116"/>
      <c r="G43" s="116" t="s">
        <v>409</v>
      </c>
      <c r="H43" s="116" t="s">
        <v>410</v>
      </c>
      <c r="I43" s="116" t="s">
        <v>360</v>
      </c>
      <c r="J43" s="205">
        <v>16</v>
      </c>
      <c r="K43" s="116" t="s">
        <v>36</v>
      </c>
      <c r="L43" s="116" t="s">
        <v>664</v>
      </c>
      <c r="M43" s="116" t="s">
        <v>104</v>
      </c>
      <c r="N43" s="116" t="s">
        <v>657</v>
      </c>
    </row>
    <row r="44" spans="1:14" ht="18.75" customHeight="1" x14ac:dyDescent="0.25">
      <c r="A44" s="115">
        <v>14</v>
      </c>
      <c r="B44" s="116" t="s">
        <v>134</v>
      </c>
      <c r="C44" s="116" t="s">
        <v>135</v>
      </c>
      <c r="D44" s="116" t="s">
        <v>129</v>
      </c>
      <c r="E44" s="117" t="s">
        <v>104</v>
      </c>
      <c r="F44" s="116"/>
      <c r="G44" s="116" t="s">
        <v>415</v>
      </c>
      <c r="H44" s="116" t="s">
        <v>416</v>
      </c>
      <c r="I44" s="116" t="s">
        <v>385</v>
      </c>
      <c r="J44" s="205">
        <v>45</v>
      </c>
      <c r="K44" s="116" t="s">
        <v>36</v>
      </c>
      <c r="L44" s="116" t="s">
        <v>665</v>
      </c>
      <c r="M44" s="116" t="s">
        <v>104</v>
      </c>
      <c r="N44" s="116" t="s">
        <v>657</v>
      </c>
    </row>
    <row r="45" spans="1:14" ht="18.75" customHeight="1" x14ac:dyDescent="0.25">
      <c r="A45" s="115">
        <v>15</v>
      </c>
      <c r="B45" s="116" t="s">
        <v>134</v>
      </c>
      <c r="C45" s="116" t="s">
        <v>135</v>
      </c>
      <c r="D45" s="116" t="s">
        <v>129</v>
      </c>
      <c r="E45" s="117" t="s">
        <v>104</v>
      </c>
      <c r="F45" s="116"/>
      <c r="G45" s="116" t="s">
        <v>418</v>
      </c>
      <c r="H45" s="116" t="s">
        <v>419</v>
      </c>
      <c r="I45" s="116" t="s">
        <v>421</v>
      </c>
      <c r="J45" s="205">
        <v>31</v>
      </c>
      <c r="K45" s="116" t="s">
        <v>480</v>
      </c>
      <c r="L45" s="116" t="s">
        <v>658</v>
      </c>
      <c r="M45" s="116" t="s">
        <v>412</v>
      </c>
      <c r="N45" s="116" t="s">
        <v>659</v>
      </c>
    </row>
    <row r="46" spans="1:14" ht="18.75" customHeight="1" x14ac:dyDescent="0.25">
      <c r="A46" s="115">
        <v>16</v>
      </c>
      <c r="B46" s="116" t="s">
        <v>134</v>
      </c>
      <c r="C46" s="116" t="s">
        <v>135</v>
      </c>
      <c r="D46" s="116" t="s">
        <v>129</v>
      </c>
      <c r="E46" s="117" t="s">
        <v>104</v>
      </c>
      <c r="F46" s="116"/>
      <c r="G46" s="116" t="s">
        <v>423</v>
      </c>
      <c r="H46" s="116" t="s">
        <v>424</v>
      </c>
      <c r="I46" s="116" t="s">
        <v>425</v>
      </c>
      <c r="J46" s="205">
        <v>17</v>
      </c>
      <c r="K46" s="116" t="s">
        <v>36</v>
      </c>
      <c r="L46" s="116" t="s">
        <v>666</v>
      </c>
      <c r="M46" s="116" t="s">
        <v>104</v>
      </c>
      <c r="N46" s="116" t="s">
        <v>657</v>
      </c>
    </row>
    <row r="47" spans="1:14" ht="18.75" customHeight="1" x14ac:dyDescent="0.25">
      <c r="A47" s="115">
        <v>17</v>
      </c>
      <c r="B47" s="116" t="s">
        <v>134</v>
      </c>
      <c r="C47" s="116" t="s">
        <v>135</v>
      </c>
      <c r="D47" s="116" t="s">
        <v>129</v>
      </c>
      <c r="E47" s="117" t="s">
        <v>104</v>
      </c>
      <c r="F47" s="116"/>
      <c r="G47" s="116" t="s">
        <v>427</v>
      </c>
      <c r="H47" s="116" t="s">
        <v>428</v>
      </c>
      <c r="I47" s="116" t="s">
        <v>429</v>
      </c>
      <c r="J47" s="205">
        <v>42</v>
      </c>
      <c r="K47" s="116" t="s">
        <v>480</v>
      </c>
      <c r="L47" s="116" t="s">
        <v>658</v>
      </c>
      <c r="M47" s="116" t="s">
        <v>412</v>
      </c>
      <c r="N47" s="116" t="s">
        <v>659</v>
      </c>
    </row>
    <row r="48" spans="1:14" ht="18.75" customHeight="1" x14ac:dyDescent="0.25">
      <c r="A48" s="115">
        <v>18</v>
      </c>
      <c r="B48" s="116" t="s">
        <v>134</v>
      </c>
      <c r="C48" s="116" t="s">
        <v>135</v>
      </c>
      <c r="D48" s="116" t="s">
        <v>129</v>
      </c>
      <c r="E48" s="117" t="s">
        <v>104</v>
      </c>
      <c r="F48" s="116"/>
      <c r="G48" s="116" t="s">
        <v>431</v>
      </c>
      <c r="H48" s="116" t="s">
        <v>432</v>
      </c>
      <c r="I48" s="116" t="s">
        <v>360</v>
      </c>
      <c r="J48" s="205">
        <v>20</v>
      </c>
      <c r="K48" s="116" t="s">
        <v>36</v>
      </c>
      <c r="L48" s="116" t="s">
        <v>667</v>
      </c>
      <c r="M48" s="116" t="s">
        <v>104</v>
      </c>
      <c r="N48" s="116" t="s">
        <v>657</v>
      </c>
    </row>
    <row r="49" spans="1:14" ht="18.75" customHeight="1" x14ac:dyDescent="0.25">
      <c r="A49" s="115">
        <v>19</v>
      </c>
      <c r="B49" s="116" t="s">
        <v>134</v>
      </c>
      <c r="C49" s="116" t="s">
        <v>135</v>
      </c>
      <c r="D49" s="116" t="s">
        <v>129</v>
      </c>
      <c r="E49" s="117" t="s">
        <v>104</v>
      </c>
      <c r="F49" s="116"/>
      <c r="G49" s="116" t="s">
        <v>434</v>
      </c>
      <c r="H49" s="116" t="s">
        <v>435</v>
      </c>
      <c r="I49" s="116" t="s">
        <v>436</v>
      </c>
      <c r="J49" s="205">
        <v>17</v>
      </c>
      <c r="K49" s="116" t="s">
        <v>480</v>
      </c>
      <c r="L49" s="116" t="s">
        <v>658</v>
      </c>
      <c r="M49" s="116" t="s">
        <v>412</v>
      </c>
      <c r="N49" s="116" t="s">
        <v>659</v>
      </c>
    </row>
    <row r="50" spans="1:14" ht="18.75" customHeight="1" x14ac:dyDescent="0.25">
      <c r="A50" s="115">
        <v>20</v>
      </c>
      <c r="B50" s="116" t="s">
        <v>134</v>
      </c>
      <c r="C50" s="116" t="s">
        <v>135</v>
      </c>
      <c r="D50" s="116" t="s">
        <v>129</v>
      </c>
      <c r="E50" s="117" t="s">
        <v>104</v>
      </c>
      <c r="F50" s="116"/>
      <c r="G50" s="116" t="s">
        <v>438</v>
      </c>
      <c r="H50" s="116" t="s">
        <v>439</v>
      </c>
      <c r="I50" s="116" t="s">
        <v>440</v>
      </c>
      <c r="J50" s="205">
        <v>34</v>
      </c>
      <c r="K50" s="116" t="s">
        <v>36</v>
      </c>
      <c r="L50" s="116" t="s">
        <v>668</v>
      </c>
      <c r="M50" s="116" t="s">
        <v>104</v>
      </c>
      <c r="N50" s="116" t="s">
        <v>657</v>
      </c>
    </row>
    <row r="51" spans="1:14" ht="18.75" customHeight="1" x14ac:dyDescent="0.25">
      <c r="A51" s="115">
        <v>21</v>
      </c>
      <c r="B51" s="116" t="s">
        <v>134</v>
      </c>
      <c r="C51" s="116" t="s">
        <v>135</v>
      </c>
      <c r="D51" s="116" t="s">
        <v>129</v>
      </c>
      <c r="E51" s="117" t="s">
        <v>104</v>
      </c>
      <c r="F51" s="116"/>
      <c r="G51" s="116" t="s">
        <v>442</v>
      </c>
      <c r="H51" s="116" t="s">
        <v>443</v>
      </c>
      <c r="I51" s="116" t="s">
        <v>381</v>
      </c>
      <c r="J51" s="205">
        <v>17</v>
      </c>
      <c r="K51" s="116" t="s">
        <v>480</v>
      </c>
      <c r="L51" s="116" t="s">
        <v>658</v>
      </c>
      <c r="M51" s="116" t="s">
        <v>412</v>
      </c>
      <c r="N51" s="116" t="s">
        <v>659</v>
      </c>
    </row>
    <row r="52" spans="1:14" ht="18.75" customHeight="1" x14ac:dyDescent="0.25">
      <c r="A52" s="115">
        <v>22</v>
      </c>
      <c r="B52" s="116" t="s">
        <v>134</v>
      </c>
      <c r="C52" s="116" t="s">
        <v>135</v>
      </c>
      <c r="D52" s="116" t="s">
        <v>129</v>
      </c>
      <c r="E52" s="117" t="s">
        <v>104</v>
      </c>
      <c r="F52" s="116"/>
      <c r="G52" s="116" t="s">
        <v>445</v>
      </c>
      <c r="H52" s="116" t="s">
        <v>446</v>
      </c>
      <c r="I52" s="116" t="s">
        <v>372</v>
      </c>
      <c r="J52" s="205">
        <v>36</v>
      </c>
      <c r="K52" s="116" t="s">
        <v>36</v>
      </c>
      <c r="L52" s="116" t="s">
        <v>669</v>
      </c>
      <c r="M52" s="116" t="s">
        <v>104</v>
      </c>
      <c r="N52" s="116" t="s">
        <v>657</v>
      </c>
    </row>
    <row r="53" spans="1:14" ht="18.75" customHeight="1" x14ac:dyDescent="0.25">
      <c r="A53" s="115">
        <v>23</v>
      </c>
      <c r="B53" s="116" t="s">
        <v>134</v>
      </c>
      <c r="C53" s="116" t="s">
        <v>135</v>
      </c>
      <c r="D53" s="116" t="s">
        <v>129</v>
      </c>
      <c r="E53" s="117" t="s">
        <v>104</v>
      </c>
      <c r="F53" s="116"/>
      <c r="G53" s="116" t="s">
        <v>449</v>
      </c>
      <c r="H53" s="116" t="s">
        <v>450</v>
      </c>
      <c r="I53" s="116" t="s">
        <v>451</v>
      </c>
      <c r="J53" s="205">
        <v>42</v>
      </c>
      <c r="K53" s="116" t="s">
        <v>36</v>
      </c>
      <c r="L53" s="116" t="s">
        <v>670</v>
      </c>
      <c r="M53" s="116" t="s">
        <v>104</v>
      </c>
      <c r="N53" s="116" t="s">
        <v>657</v>
      </c>
    </row>
    <row r="54" spans="1:14" ht="18.75" customHeight="1" x14ac:dyDescent="0.25">
      <c r="A54" s="115">
        <v>24</v>
      </c>
      <c r="B54" s="116" t="s">
        <v>134</v>
      </c>
      <c r="C54" s="116" t="s">
        <v>135</v>
      </c>
      <c r="D54" s="116" t="s">
        <v>129</v>
      </c>
      <c r="E54" s="117" t="s">
        <v>104</v>
      </c>
      <c r="F54" s="116"/>
      <c r="G54" s="116" t="s">
        <v>453</v>
      </c>
      <c r="H54" s="116" t="s">
        <v>454</v>
      </c>
      <c r="I54" s="116" t="s">
        <v>455</v>
      </c>
      <c r="J54" s="205">
        <v>22</v>
      </c>
      <c r="K54" s="116" t="s">
        <v>480</v>
      </c>
      <c r="L54" s="116" t="s">
        <v>658</v>
      </c>
      <c r="M54" s="116" t="s">
        <v>412</v>
      </c>
      <c r="N54" s="116" t="s">
        <v>659</v>
      </c>
    </row>
    <row r="55" spans="1:14" ht="18.75" customHeight="1" x14ac:dyDescent="0.25">
      <c r="A55" s="115">
        <v>25</v>
      </c>
      <c r="B55" s="116" t="s">
        <v>134</v>
      </c>
      <c r="C55" s="116" t="s">
        <v>135</v>
      </c>
      <c r="D55" s="116" t="s">
        <v>129</v>
      </c>
      <c r="E55" s="117" t="s">
        <v>104</v>
      </c>
      <c r="F55" s="116"/>
      <c r="G55" s="116" t="s">
        <v>457</v>
      </c>
      <c r="H55" s="116" t="s">
        <v>458</v>
      </c>
      <c r="I55" s="116" t="s">
        <v>459</v>
      </c>
      <c r="J55" s="205">
        <v>27</v>
      </c>
      <c r="K55" s="116" t="s">
        <v>36</v>
      </c>
      <c r="L55" s="116" t="s">
        <v>671</v>
      </c>
      <c r="M55" s="116" t="s">
        <v>104</v>
      </c>
      <c r="N55" s="116" t="s">
        <v>657</v>
      </c>
    </row>
    <row r="56" spans="1:14" ht="18.75" customHeight="1" x14ac:dyDescent="0.25">
      <c r="A56" s="115" t="s">
        <v>707</v>
      </c>
      <c r="B56" s="116" t="s">
        <v>134</v>
      </c>
      <c r="C56" s="116" t="s">
        <v>135</v>
      </c>
      <c r="D56" s="116" t="s">
        <v>129</v>
      </c>
      <c r="E56" s="117" t="s">
        <v>104</v>
      </c>
      <c r="F56" s="116"/>
      <c r="G56" s="116" t="s">
        <v>674</v>
      </c>
      <c r="H56" s="116" t="s">
        <v>458</v>
      </c>
      <c r="I56" s="116" t="s">
        <v>377</v>
      </c>
      <c r="J56" s="205">
        <v>18</v>
      </c>
      <c r="K56" s="116"/>
      <c r="L56" s="116"/>
      <c r="M56" s="116"/>
      <c r="N56" s="116"/>
    </row>
    <row r="57" spans="1:14" ht="4.5" customHeight="1" x14ac:dyDescent="0.25">
      <c r="A57" s="105">
        <v>1</v>
      </c>
      <c r="B57" s="105" t="s">
        <v>136</v>
      </c>
      <c r="C57" s="105" t="s">
        <v>137</v>
      </c>
      <c r="D57" s="105" t="s">
        <v>129</v>
      </c>
      <c r="E57" s="105" t="s">
        <v>104</v>
      </c>
      <c r="F57" s="105"/>
      <c r="G57" s="105" t="s">
        <v>353</v>
      </c>
      <c r="H57" s="105" t="s">
        <v>354</v>
      </c>
      <c r="I57" s="105" t="s">
        <v>360</v>
      </c>
      <c r="J57" s="201">
        <v>56</v>
      </c>
      <c r="K57" s="105" t="s">
        <v>36</v>
      </c>
      <c r="L57" s="105" t="s">
        <v>656</v>
      </c>
      <c r="M57" s="105" t="s">
        <v>104</v>
      </c>
      <c r="N57" s="105" t="s">
        <v>657</v>
      </c>
    </row>
    <row r="58" spans="1:14" ht="19.5" customHeight="1" x14ac:dyDescent="0.25">
      <c r="A58" s="264" t="s">
        <v>707</v>
      </c>
      <c r="B58" s="260"/>
      <c r="C58" s="260"/>
      <c r="D58" s="260"/>
      <c r="E58" s="260"/>
      <c r="F58" s="260"/>
      <c r="G58" s="260"/>
      <c r="H58" s="260"/>
      <c r="I58" s="260"/>
      <c r="J58" s="260"/>
      <c r="K58" s="260"/>
      <c r="L58" s="260"/>
      <c r="M58" s="260"/>
      <c r="N58" s="261"/>
    </row>
    <row r="59" spans="1:14" ht="18.75" customHeight="1" x14ac:dyDescent="0.25">
      <c r="A59" s="34">
        <v>3</v>
      </c>
      <c r="B59" s="35" t="s">
        <v>136</v>
      </c>
      <c r="C59" s="35" t="s">
        <v>137</v>
      </c>
      <c r="D59" s="35" t="s">
        <v>129</v>
      </c>
      <c r="E59" s="101" t="s">
        <v>104</v>
      </c>
      <c r="F59" s="35"/>
      <c r="G59" s="35" t="s">
        <v>369</v>
      </c>
      <c r="H59" s="35" t="s">
        <v>370</v>
      </c>
      <c r="I59" s="35" t="s">
        <v>372</v>
      </c>
      <c r="J59" s="198">
        <v>35</v>
      </c>
      <c r="K59" s="35" t="s">
        <v>480</v>
      </c>
      <c r="L59" s="35" t="s">
        <v>658</v>
      </c>
      <c r="M59" s="35" t="s">
        <v>412</v>
      </c>
      <c r="N59" s="35" t="s">
        <v>659</v>
      </c>
    </row>
    <row r="60" spans="1:14" ht="18.75" customHeight="1" x14ac:dyDescent="0.25">
      <c r="A60" s="112">
        <v>4</v>
      </c>
      <c r="B60" s="113" t="s">
        <v>136</v>
      </c>
      <c r="C60" s="113" t="s">
        <v>137</v>
      </c>
      <c r="D60" s="113" t="s">
        <v>129</v>
      </c>
      <c r="E60" s="114" t="s">
        <v>104</v>
      </c>
      <c r="F60" s="113"/>
      <c r="G60" s="113" t="s">
        <v>374</v>
      </c>
      <c r="H60" s="113" t="s">
        <v>375</v>
      </c>
      <c r="I60" s="113" t="s">
        <v>377</v>
      </c>
      <c r="J60" s="204">
        <v>57</v>
      </c>
      <c r="K60" s="113" t="s">
        <v>36</v>
      </c>
      <c r="L60" s="113" t="s">
        <v>660</v>
      </c>
      <c r="M60" s="113" t="s">
        <v>104</v>
      </c>
      <c r="N60" s="113" t="s">
        <v>657</v>
      </c>
    </row>
    <row r="61" spans="1:14" ht="18.75" customHeight="1" x14ac:dyDescent="0.25">
      <c r="A61" s="112">
        <v>5</v>
      </c>
      <c r="B61" s="113" t="s">
        <v>136</v>
      </c>
      <c r="C61" s="113" t="s">
        <v>137</v>
      </c>
      <c r="D61" s="113" t="s">
        <v>129</v>
      </c>
      <c r="E61" s="114" t="s">
        <v>104</v>
      </c>
      <c r="F61" s="113"/>
      <c r="G61" s="113" t="s">
        <v>379</v>
      </c>
      <c r="H61" s="113" t="s">
        <v>380</v>
      </c>
      <c r="I61" s="113" t="s">
        <v>381</v>
      </c>
      <c r="J61" s="204">
        <v>58</v>
      </c>
      <c r="K61" s="113" t="s">
        <v>480</v>
      </c>
      <c r="L61" s="113" t="s">
        <v>658</v>
      </c>
      <c r="M61" s="113" t="s">
        <v>412</v>
      </c>
      <c r="N61" s="113" t="s">
        <v>659</v>
      </c>
    </row>
    <row r="62" spans="1:14" ht="18.75" customHeight="1" x14ac:dyDescent="0.25">
      <c r="A62" s="112">
        <v>6</v>
      </c>
      <c r="B62" s="113" t="s">
        <v>136</v>
      </c>
      <c r="C62" s="113" t="s">
        <v>137</v>
      </c>
      <c r="D62" s="113" t="s">
        <v>129</v>
      </c>
      <c r="E62" s="114" t="s">
        <v>104</v>
      </c>
      <c r="F62" s="113"/>
      <c r="G62" s="113" t="s">
        <v>383</v>
      </c>
      <c r="H62" s="113" t="s">
        <v>384</v>
      </c>
      <c r="I62" s="113" t="s">
        <v>385</v>
      </c>
      <c r="J62" s="204">
        <v>22</v>
      </c>
      <c r="K62" s="113" t="s">
        <v>36</v>
      </c>
      <c r="L62" s="113" t="s">
        <v>661</v>
      </c>
      <c r="M62" s="113" t="s">
        <v>104</v>
      </c>
      <c r="N62" s="113" t="s">
        <v>657</v>
      </c>
    </row>
    <row r="63" spans="1:14" ht="18.75" customHeight="1" x14ac:dyDescent="0.25">
      <c r="A63" s="112">
        <v>7</v>
      </c>
      <c r="B63" s="113" t="s">
        <v>136</v>
      </c>
      <c r="C63" s="113" t="s">
        <v>137</v>
      </c>
      <c r="D63" s="113" t="s">
        <v>129</v>
      </c>
      <c r="E63" s="114" t="s">
        <v>104</v>
      </c>
      <c r="F63" s="113"/>
      <c r="G63" s="113" t="s">
        <v>387</v>
      </c>
      <c r="H63" s="113" t="s">
        <v>388</v>
      </c>
      <c r="I63" s="113" t="s">
        <v>389</v>
      </c>
      <c r="J63" s="204">
        <v>59</v>
      </c>
      <c r="K63" s="113" t="s">
        <v>480</v>
      </c>
      <c r="L63" s="113" t="s">
        <v>658</v>
      </c>
      <c r="M63" s="113" t="s">
        <v>412</v>
      </c>
      <c r="N63" s="113" t="s">
        <v>659</v>
      </c>
    </row>
    <row r="64" spans="1:14" ht="18.75" customHeight="1" x14ac:dyDescent="0.25">
      <c r="A64" s="112">
        <v>8</v>
      </c>
      <c r="B64" s="113" t="s">
        <v>136</v>
      </c>
      <c r="C64" s="113" t="s">
        <v>137</v>
      </c>
      <c r="D64" s="113" t="s">
        <v>129</v>
      </c>
      <c r="E64" s="114" t="s">
        <v>104</v>
      </c>
      <c r="F64" s="113"/>
      <c r="G64" s="113" t="s">
        <v>391</v>
      </c>
      <c r="H64" s="113" t="s">
        <v>392</v>
      </c>
      <c r="I64" s="113" t="s">
        <v>393</v>
      </c>
      <c r="J64" s="204">
        <v>25</v>
      </c>
      <c r="K64" s="113" t="s">
        <v>480</v>
      </c>
      <c r="L64" s="113" t="s">
        <v>658</v>
      </c>
      <c r="M64" s="113" t="s">
        <v>412</v>
      </c>
      <c r="N64" s="113" t="s">
        <v>659</v>
      </c>
    </row>
    <row r="65" spans="1:14" ht="18.75" customHeight="1" x14ac:dyDescent="0.25">
      <c r="A65" s="112">
        <v>9</v>
      </c>
      <c r="B65" s="113" t="s">
        <v>136</v>
      </c>
      <c r="C65" s="113" t="s">
        <v>137</v>
      </c>
      <c r="D65" s="113" t="s">
        <v>129</v>
      </c>
      <c r="E65" s="114" t="s">
        <v>104</v>
      </c>
      <c r="F65" s="113"/>
      <c r="G65" s="113" t="s">
        <v>395</v>
      </c>
      <c r="H65" s="113" t="s">
        <v>396</v>
      </c>
      <c r="I65" s="113" t="s">
        <v>360</v>
      </c>
      <c r="J65" s="204">
        <v>46</v>
      </c>
      <c r="K65" s="113" t="s">
        <v>36</v>
      </c>
      <c r="L65" s="113" t="s">
        <v>662</v>
      </c>
      <c r="M65" s="113" t="s">
        <v>104</v>
      </c>
      <c r="N65" s="113" t="s">
        <v>657</v>
      </c>
    </row>
    <row r="66" spans="1:14" ht="18.75" customHeight="1" x14ac:dyDescent="0.25">
      <c r="A66" s="112">
        <v>10</v>
      </c>
      <c r="B66" s="113" t="s">
        <v>136</v>
      </c>
      <c r="C66" s="113" t="s">
        <v>137</v>
      </c>
      <c r="D66" s="113" t="s">
        <v>129</v>
      </c>
      <c r="E66" s="114" t="s">
        <v>104</v>
      </c>
      <c r="F66" s="113"/>
      <c r="G66" s="113" t="s">
        <v>399</v>
      </c>
      <c r="H66" s="113" t="s">
        <v>400</v>
      </c>
      <c r="I66" s="113" t="s">
        <v>372</v>
      </c>
      <c r="J66" s="204">
        <v>57</v>
      </c>
      <c r="K66" s="113" t="s">
        <v>480</v>
      </c>
      <c r="L66" s="113" t="s">
        <v>658</v>
      </c>
      <c r="M66" s="113" t="s">
        <v>412</v>
      </c>
      <c r="N66" s="113" t="s">
        <v>659</v>
      </c>
    </row>
    <row r="67" spans="1:14" ht="18.75" customHeight="1" x14ac:dyDescent="0.25">
      <c r="A67" s="112">
        <v>11</v>
      </c>
      <c r="B67" s="113" t="s">
        <v>136</v>
      </c>
      <c r="C67" s="113" t="s">
        <v>137</v>
      </c>
      <c r="D67" s="113" t="s">
        <v>129</v>
      </c>
      <c r="E67" s="114" t="s">
        <v>104</v>
      </c>
      <c r="F67" s="113"/>
      <c r="G67" s="113" t="s">
        <v>402</v>
      </c>
      <c r="H67" s="113" t="s">
        <v>403</v>
      </c>
      <c r="I67" s="113" t="s">
        <v>404</v>
      </c>
      <c r="J67" s="204">
        <v>56</v>
      </c>
      <c r="K67" s="113" t="s">
        <v>36</v>
      </c>
      <c r="L67" s="113" t="s">
        <v>663</v>
      </c>
      <c r="M67" s="113" t="s">
        <v>104</v>
      </c>
      <c r="N67" s="113" t="s">
        <v>657</v>
      </c>
    </row>
    <row r="68" spans="1:14" ht="18.75" customHeight="1" x14ac:dyDescent="0.25">
      <c r="A68" s="112">
        <v>12</v>
      </c>
      <c r="B68" s="113" t="s">
        <v>136</v>
      </c>
      <c r="C68" s="113" t="s">
        <v>137</v>
      </c>
      <c r="D68" s="113" t="s">
        <v>129</v>
      </c>
      <c r="E68" s="114" t="s">
        <v>104</v>
      </c>
      <c r="F68" s="113"/>
      <c r="G68" s="113" t="s">
        <v>406</v>
      </c>
      <c r="H68" s="113" t="s">
        <v>407</v>
      </c>
      <c r="I68" s="113" t="s">
        <v>367</v>
      </c>
      <c r="J68" s="204">
        <v>53</v>
      </c>
      <c r="K68" s="113" t="s">
        <v>480</v>
      </c>
      <c r="L68" s="113" t="s">
        <v>658</v>
      </c>
      <c r="M68" s="113" t="s">
        <v>412</v>
      </c>
      <c r="N68" s="113" t="s">
        <v>659</v>
      </c>
    </row>
    <row r="69" spans="1:14" ht="18.75" customHeight="1" x14ac:dyDescent="0.25">
      <c r="A69" s="112">
        <v>13</v>
      </c>
      <c r="B69" s="113" t="s">
        <v>136</v>
      </c>
      <c r="C69" s="113" t="s">
        <v>137</v>
      </c>
      <c r="D69" s="113" t="s">
        <v>129</v>
      </c>
      <c r="E69" s="114" t="s">
        <v>104</v>
      </c>
      <c r="F69" s="113"/>
      <c r="G69" s="113" t="s">
        <v>409</v>
      </c>
      <c r="H69" s="113" t="s">
        <v>410</v>
      </c>
      <c r="I69" s="113" t="s">
        <v>360</v>
      </c>
      <c r="J69" s="204">
        <v>40</v>
      </c>
      <c r="K69" s="113" t="s">
        <v>36</v>
      </c>
      <c r="L69" s="113" t="s">
        <v>664</v>
      </c>
      <c r="M69" s="113" t="s">
        <v>104</v>
      </c>
      <c r="N69" s="113" t="s">
        <v>657</v>
      </c>
    </row>
    <row r="70" spans="1:14" ht="18.75" customHeight="1" x14ac:dyDescent="0.25">
      <c r="A70" s="112">
        <v>14</v>
      </c>
      <c r="B70" s="113" t="s">
        <v>136</v>
      </c>
      <c r="C70" s="113" t="s">
        <v>137</v>
      </c>
      <c r="D70" s="113" t="s">
        <v>129</v>
      </c>
      <c r="E70" s="114" t="s">
        <v>104</v>
      </c>
      <c r="F70" s="113"/>
      <c r="G70" s="113" t="s">
        <v>415</v>
      </c>
      <c r="H70" s="113" t="s">
        <v>416</v>
      </c>
      <c r="I70" s="113" t="s">
        <v>385</v>
      </c>
      <c r="J70" s="204">
        <v>36</v>
      </c>
      <c r="K70" s="113" t="s">
        <v>36</v>
      </c>
      <c r="L70" s="113" t="s">
        <v>665</v>
      </c>
      <c r="M70" s="113" t="s">
        <v>104</v>
      </c>
      <c r="N70" s="113" t="s">
        <v>657</v>
      </c>
    </row>
    <row r="71" spans="1:14" ht="18.75" customHeight="1" x14ac:dyDescent="0.25">
      <c r="A71" s="112">
        <v>15</v>
      </c>
      <c r="B71" s="113" t="s">
        <v>136</v>
      </c>
      <c r="C71" s="113" t="s">
        <v>137</v>
      </c>
      <c r="D71" s="113" t="s">
        <v>129</v>
      </c>
      <c r="E71" s="114" t="s">
        <v>104</v>
      </c>
      <c r="F71" s="113"/>
      <c r="G71" s="113" t="s">
        <v>418</v>
      </c>
      <c r="H71" s="113" t="s">
        <v>419</v>
      </c>
      <c r="I71" s="113" t="s">
        <v>421</v>
      </c>
      <c r="J71" s="204">
        <v>33</v>
      </c>
      <c r="K71" s="113" t="s">
        <v>480</v>
      </c>
      <c r="L71" s="113" t="s">
        <v>658</v>
      </c>
      <c r="M71" s="113" t="s">
        <v>412</v>
      </c>
      <c r="N71" s="113" t="s">
        <v>659</v>
      </c>
    </row>
    <row r="72" spans="1:14" ht="18.75" customHeight="1" x14ac:dyDescent="0.25">
      <c r="A72" s="112">
        <v>16</v>
      </c>
      <c r="B72" s="113" t="s">
        <v>136</v>
      </c>
      <c r="C72" s="113" t="s">
        <v>137</v>
      </c>
      <c r="D72" s="113" t="s">
        <v>129</v>
      </c>
      <c r="E72" s="114" t="s">
        <v>104</v>
      </c>
      <c r="F72" s="113"/>
      <c r="G72" s="113" t="s">
        <v>423</v>
      </c>
      <c r="H72" s="113" t="s">
        <v>424</v>
      </c>
      <c r="I72" s="113" t="s">
        <v>425</v>
      </c>
      <c r="J72" s="204">
        <v>40</v>
      </c>
      <c r="K72" s="113" t="s">
        <v>36</v>
      </c>
      <c r="L72" s="113" t="s">
        <v>666</v>
      </c>
      <c r="M72" s="113" t="s">
        <v>104</v>
      </c>
      <c r="N72" s="113" t="s">
        <v>657</v>
      </c>
    </row>
    <row r="73" spans="1:14" ht="18.75" customHeight="1" x14ac:dyDescent="0.25">
      <c r="A73" s="112">
        <v>17</v>
      </c>
      <c r="B73" s="113" t="s">
        <v>136</v>
      </c>
      <c r="C73" s="113" t="s">
        <v>137</v>
      </c>
      <c r="D73" s="113" t="s">
        <v>129</v>
      </c>
      <c r="E73" s="114" t="s">
        <v>104</v>
      </c>
      <c r="F73" s="113"/>
      <c r="G73" s="113" t="s">
        <v>427</v>
      </c>
      <c r="H73" s="113" t="s">
        <v>428</v>
      </c>
      <c r="I73" s="113" t="s">
        <v>429</v>
      </c>
      <c r="J73" s="204">
        <v>35</v>
      </c>
      <c r="K73" s="113" t="s">
        <v>480</v>
      </c>
      <c r="L73" s="113" t="s">
        <v>658</v>
      </c>
      <c r="M73" s="113" t="s">
        <v>412</v>
      </c>
      <c r="N73" s="113" t="s">
        <v>659</v>
      </c>
    </row>
    <row r="74" spans="1:14" ht="18.75" customHeight="1" x14ac:dyDescent="0.25">
      <c r="A74" s="112">
        <v>18</v>
      </c>
      <c r="B74" s="113" t="s">
        <v>136</v>
      </c>
      <c r="C74" s="113" t="s">
        <v>137</v>
      </c>
      <c r="D74" s="113" t="s">
        <v>129</v>
      </c>
      <c r="E74" s="114" t="s">
        <v>104</v>
      </c>
      <c r="F74" s="113"/>
      <c r="G74" s="113" t="s">
        <v>431</v>
      </c>
      <c r="H74" s="113" t="s">
        <v>432</v>
      </c>
      <c r="I74" s="113" t="s">
        <v>360</v>
      </c>
      <c r="J74" s="204">
        <v>36</v>
      </c>
      <c r="K74" s="113" t="s">
        <v>36</v>
      </c>
      <c r="L74" s="113" t="s">
        <v>667</v>
      </c>
      <c r="M74" s="113" t="s">
        <v>104</v>
      </c>
      <c r="N74" s="113" t="s">
        <v>657</v>
      </c>
    </row>
    <row r="75" spans="1:14" ht="18.75" customHeight="1" x14ac:dyDescent="0.25">
      <c r="A75" s="112">
        <v>19</v>
      </c>
      <c r="B75" s="113" t="s">
        <v>136</v>
      </c>
      <c r="C75" s="113" t="s">
        <v>137</v>
      </c>
      <c r="D75" s="113" t="s">
        <v>129</v>
      </c>
      <c r="E75" s="114" t="s">
        <v>104</v>
      </c>
      <c r="F75" s="113"/>
      <c r="G75" s="113" t="s">
        <v>434</v>
      </c>
      <c r="H75" s="113" t="s">
        <v>435</v>
      </c>
      <c r="I75" s="113" t="s">
        <v>436</v>
      </c>
      <c r="J75" s="204">
        <v>45</v>
      </c>
      <c r="K75" s="113" t="s">
        <v>480</v>
      </c>
      <c r="L75" s="113" t="s">
        <v>658</v>
      </c>
      <c r="M75" s="113" t="s">
        <v>412</v>
      </c>
      <c r="N75" s="113" t="s">
        <v>659</v>
      </c>
    </row>
    <row r="76" spans="1:14" ht="18.75" customHeight="1" x14ac:dyDescent="0.25">
      <c r="A76" s="112">
        <v>20</v>
      </c>
      <c r="B76" s="113" t="s">
        <v>136</v>
      </c>
      <c r="C76" s="113" t="s">
        <v>137</v>
      </c>
      <c r="D76" s="113" t="s">
        <v>129</v>
      </c>
      <c r="E76" s="114" t="s">
        <v>104</v>
      </c>
      <c r="F76" s="113"/>
      <c r="G76" s="113" t="s">
        <v>438</v>
      </c>
      <c r="H76" s="113" t="s">
        <v>439</v>
      </c>
      <c r="I76" s="113" t="s">
        <v>440</v>
      </c>
      <c r="J76" s="204">
        <v>28</v>
      </c>
      <c r="K76" s="113" t="s">
        <v>36</v>
      </c>
      <c r="L76" s="113" t="s">
        <v>668</v>
      </c>
      <c r="M76" s="113" t="s">
        <v>104</v>
      </c>
      <c r="N76" s="113" t="s">
        <v>657</v>
      </c>
    </row>
    <row r="77" spans="1:14" ht="18.75" customHeight="1" x14ac:dyDescent="0.25">
      <c r="A77" s="112">
        <v>21</v>
      </c>
      <c r="B77" s="113" t="s">
        <v>136</v>
      </c>
      <c r="C77" s="113" t="s">
        <v>137</v>
      </c>
      <c r="D77" s="113" t="s">
        <v>129</v>
      </c>
      <c r="E77" s="114" t="s">
        <v>104</v>
      </c>
      <c r="F77" s="113"/>
      <c r="G77" s="113" t="s">
        <v>442</v>
      </c>
      <c r="H77" s="113" t="s">
        <v>443</v>
      </c>
      <c r="I77" s="113" t="s">
        <v>381</v>
      </c>
      <c r="J77" s="204">
        <v>39</v>
      </c>
      <c r="K77" s="113" t="s">
        <v>480</v>
      </c>
      <c r="L77" s="113" t="s">
        <v>658</v>
      </c>
      <c r="M77" s="113" t="s">
        <v>412</v>
      </c>
      <c r="N77" s="113" t="s">
        <v>659</v>
      </c>
    </row>
    <row r="78" spans="1:14" ht="18.75" customHeight="1" x14ac:dyDescent="0.25">
      <c r="A78" s="112">
        <v>22</v>
      </c>
      <c r="B78" s="113" t="s">
        <v>136</v>
      </c>
      <c r="C78" s="113" t="s">
        <v>137</v>
      </c>
      <c r="D78" s="113" t="s">
        <v>129</v>
      </c>
      <c r="E78" s="114" t="s">
        <v>104</v>
      </c>
      <c r="F78" s="113"/>
      <c r="G78" s="113" t="s">
        <v>445</v>
      </c>
      <c r="H78" s="113" t="s">
        <v>446</v>
      </c>
      <c r="I78" s="113" t="s">
        <v>372</v>
      </c>
      <c r="J78" s="204">
        <v>49</v>
      </c>
      <c r="K78" s="113" t="s">
        <v>36</v>
      </c>
      <c r="L78" s="113" t="s">
        <v>669</v>
      </c>
      <c r="M78" s="113" t="s">
        <v>104</v>
      </c>
      <c r="N78" s="113" t="s">
        <v>657</v>
      </c>
    </row>
    <row r="79" spans="1:14" ht="18.75" customHeight="1" x14ac:dyDescent="0.25">
      <c r="A79" s="112">
        <v>23</v>
      </c>
      <c r="B79" s="113" t="s">
        <v>136</v>
      </c>
      <c r="C79" s="113" t="s">
        <v>137</v>
      </c>
      <c r="D79" s="113" t="s">
        <v>129</v>
      </c>
      <c r="E79" s="114" t="s">
        <v>104</v>
      </c>
      <c r="F79" s="113"/>
      <c r="G79" s="113" t="s">
        <v>449</v>
      </c>
      <c r="H79" s="113" t="s">
        <v>450</v>
      </c>
      <c r="I79" s="113" t="s">
        <v>451</v>
      </c>
      <c r="J79" s="204">
        <v>40</v>
      </c>
      <c r="K79" s="113" t="s">
        <v>36</v>
      </c>
      <c r="L79" s="113" t="s">
        <v>670</v>
      </c>
      <c r="M79" s="113" t="s">
        <v>104</v>
      </c>
      <c r="N79" s="113" t="s">
        <v>657</v>
      </c>
    </row>
    <row r="80" spans="1:14" ht="18.75" customHeight="1" x14ac:dyDescent="0.25">
      <c r="A80" s="112">
        <v>24</v>
      </c>
      <c r="B80" s="113" t="s">
        <v>136</v>
      </c>
      <c r="C80" s="113" t="s">
        <v>137</v>
      </c>
      <c r="D80" s="113" t="s">
        <v>129</v>
      </c>
      <c r="E80" s="114" t="s">
        <v>104</v>
      </c>
      <c r="F80" s="113"/>
      <c r="G80" s="113" t="s">
        <v>453</v>
      </c>
      <c r="H80" s="113" t="s">
        <v>454</v>
      </c>
      <c r="I80" s="113" t="s">
        <v>455</v>
      </c>
      <c r="J80" s="204">
        <v>24</v>
      </c>
      <c r="K80" s="113" t="s">
        <v>480</v>
      </c>
      <c r="L80" s="113" t="s">
        <v>658</v>
      </c>
      <c r="M80" s="113" t="s">
        <v>412</v>
      </c>
      <c r="N80" s="113" t="s">
        <v>659</v>
      </c>
    </row>
    <row r="81" spans="1:14" ht="18.75" customHeight="1" x14ac:dyDescent="0.25">
      <c r="A81" s="112">
        <v>25</v>
      </c>
      <c r="B81" s="113" t="s">
        <v>136</v>
      </c>
      <c r="C81" s="113" t="s">
        <v>137</v>
      </c>
      <c r="D81" s="113" t="s">
        <v>129</v>
      </c>
      <c r="E81" s="114" t="s">
        <v>104</v>
      </c>
      <c r="F81" s="113"/>
      <c r="G81" s="113" t="s">
        <v>457</v>
      </c>
      <c r="H81" s="113" t="s">
        <v>458</v>
      </c>
      <c r="I81" s="113" t="s">
        <v>459</v>
      </c>
      <c r="J81" s="204">
        <v>20</v>
      </c>
      <c r="K81" s="113" t="s">
        <v>36</v>
      </c>
      <c r="L81" s="113" t="s">
        <v>671</v>
      </c>
      <c r="M81" s="113" t="s">
        <v>104</v>
      </c>
      <c r="N81" s="113" t="s">
        <v>657</v>
      </c>
    </row>
    <row r="82" spans="1:14" ht="18.75" customHeight="1" x14ac:dyDescent="0.25">
      <c r="A82" s="112" t="s">
        <v>708</v>
      </c>
      <c r="B82" s="113" t="s">
        <v>136</v>
      </c>
      <c r="C82" s="113" t="s">
        <v>137</v>
      </c>
      <c r="D82" s="113" t="s">
        <v>129</v>
      </c>
      <c r="E82" s="114" t="s">
        <v>104</v>
      </c>
      <c r="F82" s="113"/>
      <c r="G82" s="113" t="s">
        <v>676</v>
      </c>
      <c r="H82" s="113" t="s">
        <v>454</v>
      </c>
      <c r="I82" s="113" t="s">
        <v>646</v>
      </c>
      <c r="J82" s="204">
        <v>49</v>
      </c>
      <c r="K82" s="113"/>
      <c r="L82" s="113"/>
      <c r="M82" s="113"/>
      <c r="N82" s="113"/>
    </row>
    <row r="83" spans="1:14" ht="18.75" customHeight="1" x14ac:dyDescent="0.25">
      <c r="A83" s="112">
        <v>1</v>
      </c>
      <c r="B83" s="113" t="s">
        <v>138</v>
      </c>
      <c r="C83" s="113" t="s">
        <v>139</v>
      </c>
      <c r="D83" s="113" t="s">
        <v>129</v>
      </c>
      <c r="E83" s="114" t="s">
        <v>104</v>
      </c>
      <c r="F83" s="113"/>
      <c r="G83" s="113" t="s">
        <v>353</v>
      </c>
      <c r="H83" s="113" t="s">
        <v>354</v>
      </c>
      <c r="I83" s="113" t="s">
        <v>360</v>
      </c>
      <c r="J83" s="204">
        <v>59</v>
      </c>
      <c r="K83" s="113" t="s">
        <v>36</v>
      </c>
      <c r="L83" s="113" t="s">
        <v>656</v>
      </c>
      <c r="M83" s="113" t="s">
        <v>104</v>
      </c>
      <c r="N83" s="113" t="s">
        <v>657</v>
      </c>
    </row>
    <row r="84" spans="1:14" ht="4.5" customHeight="1" x14ac:dyDescent="0.25">
      <c r="A84" s="105">
        <v>2</v>
      </c>
      <c r="B84" s="105" t="s">
        <v>138</v>
      </c>
      <c r="C84" s="105" t="s">
        <v>139</v>
      </c>
      <c r="D84" s="105" t="s">
        <v>129</v>
      </c>
      <c r="E84" s="105" t="s">
        <v>104</v>
      </c>
      <c r="F84" s="105"/>
      <c r="G84" s="105" t="s">
        <v>363</v>
      </c>
      <c r="H84" s="105" t="s">
        <v>364</v>
      </c>
      <c r="I84" s="105" t="s">
        <v>367</v>
      </c>
      <c r="J84" s="201">
        <v>56</v>
      </c>
      <c r="K84" s="105" t="s">
        <v>480</v>
      </c>
      <c r="L84" s="105" t="s">
        <v>658</v>
      </c>
      <c r="M84" s="105" t="s">
        <v>412</v>
      </c>
      <c r="N84" s="105" t="s">
        <v>659</v>
      </c>
    </row>
    <row r="85" spans="1:14" ht="19.5" customHeight="1" x14ac:dyDescent="0.25">
      <c r="A85" s="264" t="s">
        <v>708</v>
      </c>
      <c r="B85" s="260"/>
      <c r="C85" s="260"/>
      <c r="D85" s="260"/>
      <c r="E85" s="260"/>
      <c r="F85" s="260"/>
      <c r="G85" s="260"/>
      <c r="H85" s="260"/>
      <c r="I85" s="260"/>
      <c r="J85" s="260"/>
      <c r="K85" s="260"/>
      <c r="L85" s="260"/>
      <c r="M85" s="260"/>
      <c r="N85" s="261"/>
    </row>
    <row r="86" spans="1:14" ht="18.75" customHeight="1" x14ac:dyDescent="0.25">
      <c r="A86" s="34">
        <v>4</v>
      </c>
      <c r="B86" s="35" t="s">
        <v>138</v>
      </c>
      <c r="C86" s="35" t="s">
        <v>139</v>
      </c>
      <c r="D86" s="35" t="s">
        <v>129</v>
      </c>
      <c r="E86" s="101" t="s">
        <v>104</v>
      </c>
      <c r="F86" s="35"/>
      <c r="G86" s="35" t="s">
        <v>374</v>
      </c>
      <c r="H86" s="35" t="s">
        <v>375</v>
      </c>
      <c r="I86" s="35" t="s">
        <v>377</v>
      </c>
      <c r="J86" s="198">
        <v>26</v>
      </c>
      <c r="K86" s="35" t="s">
        <v>36</v>
      </c>
      <c r="L86" s="35" t="s">
        <v>660</v>
      </c>
      <c r="M86" s="35" t="s">
        <v>104</v>
      </c>
      <c r="N86" s="35" t="s">
        <v>657</v>
      </c>
    </row>
    <row r="87" spans="1:14" ht="18.75" customHeight="1" x14ac:dyDescent="0.25">
      <c r="A87" s="115">
        <v>5</v>
      </c>
      <c r="B87" s="116" t="s">
        <v>138</v>
      </c>
      <c r="C87" s="116" t="s">
        <v>139</v>
      </c>
      <c r="D87" s="116" t="s">
        <v>129</v>
      </c>
      <c r="E87" s="117" t="s">
        <v>104</v>
      </c>
      <c r="F87" s="116"/>
      <c r="G87" s="116" t="s">
        <v>379</v>
      </c>
      <c r="H87" s="116" t="s">
        <v>380</v>
      </c>
      <c r="I87" s="116" t="s">
        <v>381</v>
      </c>
      <c r="J87" s="205">
        <v>24</v>
      </c>
      <c r="K87" s="116" t="s">
        <v>480</v>
      </c>
      <c r="L87" s="116" t="s">
        <v>658</v>
      </c>
      <c r="M87" s="116" t="s">
        <v>412</v>
      </c>
      <c r="N87" s="116" t="s">
        <v>659</v>
      </c>
    </row>
    <row r="88" spans="1:14" ht="18.75" customHeight="1" x14ac:dyDescent="0.25">
      <c r="A88" s="115">
        <v>6</v>
      </c>
      <c r="B88" s="116" t="s">
        <v>138</v>
      </c>
      <c r="C88" s="116" t="s">
        <v>139</v>
      </c>
      <c r="D88" s="116" t="s">
        <v>129</v>
      </c>
      <c r="E88" s="117" t="s">
        <v>104</v>
      </c>
      <c r="F88" s="116"/>
      <c r="G88" s="116" t="s">
        <v>383</v>
      </c>
      <c r="H88" s="116" t="s">
        <v>384</v>
      </c>
      <c r="I88" s="116" t="s">
        <v>385</v>
      </c>
      <c r="J88" s="205">
        <v>54</v>
      </c>
      <c r="K88" s="116" t="s">
        <v>36</v>
      </c>
      <c r="L88" s="116" t="s">
        <v>661</v>
      </c>
      <c r="M88" s="116" t="s">
        <v>104</v>
      </c>
      <c r="N88" s="116" t="s">
        <v>657</v>
      </c>
    </row>
    <row r="89" spans="1:14" ht="18.75" customHeight="1" x14ac:dyDescent="0.25">
      <c r="A89" s="115">
        <v>7</v>
      </c>
      <c r="B89" s="116" t="s">
        <v>138</v>
      </c>
      <c r="C89" s="116" t="s">
        <v>139</v>
      </c>
      <c r="D89" s="116" t="s">
        <v>129</v>
      </c>
      <c r="E89" s="117" t="s">
        <v>104</v>
      </c>
      <c r="F89" s="116"/>
      <c r="G89" s="116" t="s">
        <v>387</v>
      </c>
      <c r="H89" s="116" t="s">
        <v>388</v>
      </c>
      <c r="I89" s="116" t="s">
        <v>389</v>
      </c>
      <c r="J89" s="205">
        <v>33</v>
      </c>
      <c r="K89" s="116" t="s">
        <v>480</v>
      </c>
      <c r="L89" s="116" t="s">
        <v>658</v>
      </c>
      <c r="M89" s="116" t="s">
        <v>412</v>
      </c>
      <c r="N89" s="116" t="s">
        <v>659</v>
      </c>
    </row>
    <row r="90" spans="1:14" ht="18.75" customHeight="1" x14ac:dyDescent="0.25">
      <c r="A90" s="115">
        <v>8</v>
      </c>
      <c r="B90" s="116" t="s">
        <v>138</v>
      </c>
      <c r="C90" s="116" t="s">
        <v>139</v>
      </c>
      <c r="D90" s="116" t="s">
        <v>129</v>
      </c>
      <c r="E90" s="117" t="s">
        <v>104</v>
      </c>
      <c r="F90" s="116"/>
      <c r="G90" s="116" t="s">
        <v>391</v>
      </c>
      <c r="H90" s="116" t="s">
        <v>392</v>
      </c>
      <c r="I90" s="116" t="s">
        <v>393</v>
      </c>
      <c r="J90" s="205">
        <v>52</v>
      </c>
      <c r="K90" s="116" t="s">
        <v>480</v>
      </c>
      <c r="L90" s="116" t="s">
        <v>658</v>
      </c>
      <c r="M90" s="116" t="s">
        <v>412</v>
      </c>
      <c r="N90" s="116" t="s">
        <v>659</v>
      </c>
    </row>
    <row r="91" spans="1:14" ht="18.75" customHeight="1" x14ac:dyDescent="0.25">
      <c r="A91" s="115">
        <v>9</v>
      </c>
      <c r="B91" s="116" t="s">
        <v>138</v>
      </c>
      <c r="C91" s="116" t="s">
        <v>139</v>
      </c>
      <c r="D91" s="116" t="s">
        <v>129</v>
      </c>
      <c r="E91" s="117" t="s">
        <v>104</v>
      </c>
      <c r="F91" s="116"/>
      <c r="G91" s="116" t="s">
        <v>395</v>
      </c>
      <c r="H91" s="116" t="s">
        <v>396</v>
      </c>
      <c r="I91" s="116" t="s">
        <v>360</v>
      </c>
      <c r="J91" s="205">
        <v>36</v>
      </c>
      <c r="K91" s="116" t="s">
        <v>36</v>
      </c>
      <c r="L91" s="116" t="s">
        <v>662</v>
      </c>
      <c r="M91" s="116" t="s">
        <v>104</v>
      </c>
      <c r="N91" s="116" t="s">
        <v>657</v>
      </c>
    </row>
    <row r="92" spans="1:14" ht="18.75" customHeight="1" x14ac:dyDescent="0.25">
      <c r="A92" s="115">
        <v>10</v>
      </c>
      <c r="B92" s="116" t="s">
        <v>138</v>
      </c>
      <c r="C92" s="116" t="s">
        <v>139</v>
      </c>
      <c r="D92" s="116" t="s">
        <v>129</v>
      </c>
      <c r="E92" s="117" t="s">
        <v>104</v>
      </c>
      <c r="F92" s="116"/>
      <c r="G92" s="116" t="s">
        <v>399</v>
      </c>
      <c r="H92" s="116" t="s">
        <v>400</v>
      </c>
      <c r="I92" s="116" t="s">
        <v>372</v>
      </c>
      <c r="J92" s="205">
        <v>28</v>
      </c>
      <c r="K92" s="116" t="s">
        <v>480</v>
      </c>
      <c r="L92" s="116" t="s">
        <v>658</v>
      </c>
      <c r="M92" s="116" t="s">
        <v>412</v>
      </c>
      <c r="N92" s="116" t="s">
        <v>659</v>
      </c>
    </row>
    <row r="93" spans="1:14" ht="18.75" customHeight="1" x14ac:dyDescent="0.25">
      <c r="A93" s="115">
        <v>11</v>
      </c>
      <c r="B93" s="116" t="s">
        <v>138</v>
      </c>
      <c r="C93" s="116" t="s">
        <v>139</v>
      </c>
      <c r="D93" s="116" t="s">
        <v>129</v>
      </c>
      <c r="E93" s="117" t="s">
        <v>104</v>
      </c>
      <c r="F93" s="116"/>
      <c r="G93" s="116" t="s">
        <v>402</v>
      </c>
      <c r="H93" s="116" t="s">
        <v>403</v>
      </c>
      <c r="I93" s="116" t="s">
        <v>404</v>
      </c>
      <c r="J93" s="205">
        <v>42</v>
      </c>
      <c r="K93" s="116" t="s">
        <v>36</v>
      </c>
      <c r="L93" s="116" t="s">
        <v>663</v>
      </c>
      <c r="M93" s="116" t="s">
        <v>104</v>
      </c>
      <c r="N93" s="116" t="s">
        <v>657</v>
      </c>
    </row>
    <row r="94" spans="1:14" ht="18.75" customHeight="1" x14ac:dyDescent="0.25">
      <c r="A94" s="115">
        <v>12</v>
      </c>
      <c r="B94" s="116" t="s">
        <v>138</v>
      </c>
      <c r="C94" s="116" t="s">
        <v>139</v>
      </c>
      <c r="D94" s="116" t="s">
        <v>129</v>
      </c>
      <c r="E94" s="117" t="s">
        <v>104</v>
      </c>
      <c r="F94" s="116"/>
      <c r="G94" s="116" t="s">
        <v>406</v>
      </c>
      <c r="H94" s="116" t="s">
        <v>407</v>
      </c>
      <c r="I94" s="116" t="s">
        <v>367</v>
      </c>
      <c r="J94" s="205">
        <v>24</v>
      </c>
      <c r="K94" s="116" t="s">
        <v>480</v>
      </c>
      <c r="L94" s="116" t="s">
        <v>658</v>
      </c>
      <c r="M94" s="116" t="s">
        <v>412</v>
      </c>
      <c r="N94" s="116" t="s">
        <v>659</v>
      </c>
    </row>
    <row r="95" spans="1:14" ht="18.75" customHeight="1" x14ac:dyDescent="0.25">
      <c r="A95" s="115">
        <v>13</v>
      </c>
      <c r="B95" s="116" t="s">
        <v>138</v>
      </c>
      <c r="C95" s="116" t="s">
        <v>139</v>
      </c>
      <c r="D95" s="116" t="s">
        <v>129</v>
      </c>
      <c r="E95" s="117" t="s">
        <v>104</v>
      </c>
      <c r="F95" s="116"/>
      <c r="G95" s="116" t="s">
        <v>409</v>
      </c>
      <c r="H95" s="116" t="s">
        <v>410</v>
      </c>
      <c r="I95" s="116" t="s">
        <v>360</v>
      </c>
      <c r="J95" s="205">
        <v>35</v>
      </c>
      <c r="K95" s="116" t="s">
        <v>36</v>
      </c>
      <c r="L95" s="116" t="s">
        <v>664</v>
      </c>
      <c r="M95" s="116" t="s">
        <v>104</v>
      </c>
      <c r="N95" s="116" t="s">
        <v>657</v>
      </c>
    </row>
    <row r="96" spans="1:14" ht="18.75" customHeight="1" x14ac:dyDescent="0.25">
      <c r="A96" s="115">
        <v>14</v>
      </c>
      <c r="B96" s="116" t="s">
        <v>138</v>
      </c>
      <c r="C96" s="116" t="s">
        <v>139</v>
      </c>
      <c r="D96" s="116" t="s">
        <v>129</v>
      </c>
      <c r="E96" s="117" t="s">
        <v>104</v>
      </c>
      <c r="F96" s="116"/>
      <c r="G96" s="116" t="s">
        <v>415</v>
      </c>
      <c r="H96" s="116" t="s">
        <v>416</v>
      </c>
      <c r="I96" s="116" t="s">
        <v>385</v>
      </c>
      <c r="J96" s="205">
        <v>43</v>
      </c>
      <c r="K96" s="116" t="s">
        <v>36</v>
      </c>
      <c r="L96" s="116" t="s">
        <v>665</v>
      </c>
      <c r="M96" s="116" t="s">
        <v>104</v>
      </c>
      <c r="N96" s="116" t="s">
        <v>657</v>
      </c>
    </row>
    <row r="97" spans="1:14" ht="18.75" customHeight="1" x14ac:dyDescent="0.25">
      <c r="A97" s="115">
        <v>15</v>
      </c>
      <c r="B97" s="116" t="s">
        <v>138</v>
      </c>
      <c r="C97" s="116" t="s">
        <v>139</v>
      </c>
      <c r="D97" s="116" t="s">
        <v>129</v>
      </c>
      <c r="E97" s="117" t="s">
        <v>104</v>
      </c>
      <c r="F97" s="116"/>
      <c r="G97" s="116" t="s">
        <v>418</v>
      </c>
      <c r="H97" s="116" t="s">
        <v>419</v>
      </c>
      <c r="I97" s="116" t="s">
        <v>421</v>
      </c>
      <c r="J97" s="205">
        <v>38</v>
      </c>
      <c r="K97" s="116" t="s">
        <v>480</v>
      </c>
      <c r="L97" s="116" t="s">
        <v>658</v>
      </c>
      <c r="M97" s="116" t="s">
        <v>412</v>
      </c>
      <c r="N97" s="116" t="s">
        <v>659</v>
      </c>
    </row>
    <row r="98" spans="1:14" ht="18.75" customHeight="1" x14ac:dyDescent="0.25">
      <c r="A98" s="115">
        <v>16</v>
      </c>
      <c r="B98" s="116" t="s">
        <v>138</v>
      </c>
      <c r="C98" s="116" t="s">
        <v>139</v>
      </c>
      <c r="D98" s="116" t="s">
        <v>129</v>
      </c>
      <c r="E98" s="117" t="s">
        <v>104</v>
      </c>
      <c r="F98" s="116"/>
      <c r="G98" s="116" t="s">
        <v>423</v>
      </c>
      <c r="H98" s="116" t="s">
        <v>424</v>
      </c>
      <c r="I98" s="116" t="s">
        <v>425</v>
      </c>
      <c r="J98" s="205">
        <v>30</v>
      </c>
      <c r="K98" s="116" t="s">
        <v>36</v>
      </c>
      <c r="L98" s="116" t="s">
        <v>666</v>
      </c>
      <c r="M98" s="116" t="s">
        <v>104</v>
      </c>
      <c r="N98" s="116" t="s">
        <v>657</v>
      </c>
    </row>
    <row r="99" spans="1:14" ht="18.75" customHeight="1" x14ac:dyDescent="0.25">
      <c r="A99" s="115">
        <v>17</v>
      </c>
      <c r="B99" s="116" t="s">
        <v>138</v>
      </c>
      <c r="C99" s="116" t="s">
        <v>139</v>
      </c>
      <c r="D99" s="116" t="s">
        <v>129</v>
      </c>
      <c r="E99" s="117" t="s">
        <v>104</v>
      </c>
      <c r="F99" s="116"/>
      <c r="G99" s="116" t="s">
        <v>427</v>
      </c>
      <c r="H99" s="116" t="s">
        <v>428</v>
      </c>
      <c r="I99" s="116" t="s">
        <v>429</v>
      </c>
      <c r="J99" s="205">
        <v>48</v>
      </c>
      <c r="K99" s="116" t="s">
        <v>480</v>
      </c>
      <c r="L99" s="116" t="s">
        <v>658</v>
      </c>
      <c r="M99" s="116" t="s">
        <v>412</v>
      </c>
      <c r="N99" s="116" t="s">
        <v>659</v>
      </c>
    </row>
    <row r="100" spans="1:14" ht="18.75" customHeight="1" x14ac:dyDescent="0.25">
      <c r="A100" s="115">
        <v>18</v>
      </c>
      <c r="B100" s="116" t="s">
        <v>138</v>
      </c>
      <c r="C100" s="116" t="s">
        <v>139</v>
      </c>
      <c r="D100" s="116" t="s">
        <v>129</v>
      </c>
      <c r="E100" s="117" t="s">
        <v>104</v>
      </c>
      <c r="F100" s="116"/>
      <c r="G100" s="116" t="s">
        <v>431</v>
      </c>
      <c r="H100" s="116" t="s">
        <v>432</v>
      </c>
      <c r="I100" s="116" t="s">
        <v>360</v>
      </c>
      <c r="J100" s="205">
        <v>54</v>
      </c>
      <c r="K100" s="116" t="s">
        <v>36</v>
      </c>
      <c r="L100" s="116" t="s">
        <v>667</v>
      </c>
      <c r="M100" s="116" t="s">
        <v>104</v>
      </c>
      <c r="N100" s="116" t="s">
        <v>657</v>
      </c>
    </row>
    <row r="101" spans="1:14" ht="18.75" customHeight="1" x14ac:dyDescent="0.25">
      <c r="A101" s="115">
        <v>19</v>
      </c>
      <c r="B101" s="116" t="s">
        <v>138</v>
      </c>
      <c r="C101" s="116" t="s">
        <v>139</v>
      </c>
      <c r="D101" s="116" t="s">
        <v>129</v>
      </c>
      <c r="E101" s="117" t="s">
        <v>104</v>
      </c>
      <c r="F101" s="116"/>
      <c r="G101" s="116" t="s">
        <v>434</v>
      </c>
      <c r="H101" s="116" t="s">
        <v>435</v>
      </c>
      <c r="I101" s="116" t="s">
        <v>436</v>
      </c>
      <c r="J101" s="205">
        <v>39</v>
      </c>
      <c r="K101" s="116" t="s">
        <v>480</v>
      </c>
      <c r="L101" s="116" t="s">
        <v>658</v>
      </c>
      <c r="M101" s="116" t="s">
        <v>412</v>
      </c>
      <c r="N101" s="116" t="s">
        <v>659</v>
      </c>
    </row>
    <row r="102" spans="1:14" ht="18.75" customHeight="1" x14ac:dyDescent="0.25">
      <c r="A102" s="115">
        <v>20</v>
      </c>
      <c r="B102" s="116" t="s">
        <v>138</v>
      </c>
      <c r="C102" s="116" t="s">
        <v>139</v>
      </c>
      <c r="D102" s="116" t="s">
        <v>129</v>
      </c>
      <c r="E102" s="117" t="s">
        <v>104</v>
      </c>
      <c r="F102" s="116"/>
      <c r="G102" s="116" t="s">
        <v>438</v>
      </c>
      <c r="H102" s="116" t="s">
        <v>439</v>
      </c>
      <c r="I102" s="116" t="s">
        <v>440</v>
      </c>
      <c r="J102" s="205">
        <v>59</v>
      </c>
      <c r="K102" s="116" t="s">
        <v>36</v>
      </c>
      <c r="L102" s="116" t="s">
        <v>668</v>
      </c>
      <c r="M102" s="116" t="s">
        <v>104</v>
      </c>
      <c r="N102" s="116" t="s">
        <v>657</v>
      </c>
    </row>
    <row r="103" spans="1:14" ht="18.75" customHeight="1" x14ac:dyDescent="0.25">
      <c r="A103" s="115">
        <v>21</v>
      </c>
      <c r="B103" s="116" t="s">
        <v>138</v>
      </c>
      <c r="C103" s="116" t="s">
        <v>139</v>
      </c>
      <c r="D103" s="116" t="s">
        <v>129</v>
      </c>
      <c r="E103" s="117" t="s">
        <v>104</v>
      </c>
      <c r="F103" s="116"/>
      <c r="G103" s="116" t="s">
        <v>442</v>
      </c>
      <c r="H103" s="116" t="s">
        <v>443</v>
      </c>
      <c r="I103" s="116" t="s">
        <v>381</v>
      </c>
      <c r="J103" s="205">
        <v>53</v>
      </c>
      <c r="K103" s="116" t="s">
        <v>480</v>
      </c>
      <c r="L103" s="116" t="s">
        <v>658</v>
      </c>
      <c r="M103" s="116" t="s">
        <v>412</v>
      </c>
      <c r="N103" s="116" t="s">
        <v>659</v>
      </c>
    </row>
    <row r="104" spans="1:14" ht="18.75" customHeight="1" x14ac:dyDescent="0.25">
      <c r="A104" s="115">
        <v>22</v>
      </c>
      <c r="B104" s="116" t="s">
        <v>138</v>
      </c>
      <c r="C104" s="116" t="s">
        <v>139</v>
      </c>
      <c r="D104" s="116" t="s">
        <v>129</v>
      </c>
      <c r="E104" s="117" t="s">
        <v>104</v>
      </c>
      <c r="F104" s="116"/>
      <c r="G104" s="116" t="s">
        <v>445</v>
      </c>
      <c r="H104" s="116" t="s">
        <v>446</v>
      </c>
      <c r="I104" s="116" t="s">
        <v>372</v>
      </c>
      <c r="J104" s="205">
        <v>20</v>
      </c>
      <c r="K104" s="116" t="s">
        <v>36</v>
      </c>
      <c r="L104" s="116" t="s">
        <v>669</v>
      </c>
      <c r="M104" s="116" t="s">
        <v>104</v>
      </c>
      <c r="N104" s="116" t="s">
        <v>657</v>
      </c>
    </row>
    <row r="105" spans="1:14" ht="18.75" customHeight="1" x14ac:dyDescent="0.25">
      <c r="A105" s="115">
        <v>23</v>
      </c>
      <c r="B105" s="116" t="s">
        <v>138</v>
      </c>
      <c r="C105" s="116" t="s">
        <v>139</v>
      </c>
      <c r="D105" s="116" t="s">
        <v>129</v>
      </c>
      <c r="E105" s="117" t="s">
        <v>104</v>
      </c>
      <c r="F105" s="116"/>
      <c r="G105" s="116" t="s">
        <v>449</v>
      </c>
      <c r="H105" s="116" t="s">
        <v>450</v>
      </c>
      <c r="I105" s="116" t="s">
        <v>451</v>
      </c>
      <c r="J105" s="205">
        <v>55</v>
      </c>
      <c r="K105" s="116" t="s">
        <v>36</v>
      </c>
      <c r="L105" s="116" t="s">
        <v>670</v>
      </c>
      <c r="M105" s="116" t="s">
        <v>104</v>
      </c>
      <c r="N105" s="116" t="s">
        <v>657</v>
      </c>
    </row>
    <row r="106" spans="1:14" ht="18.75" customHeight="1" x14ac:dyDescent="0.25">
      <c r="A106" s="115">
        <v>24</v>
      </c>
      <c r="B106" s="116" t="s">
        <v>138</v>
      </c>
      <c r="C106" s="116" t="s">
        <v>139</v>
      </c>
      <c r="D106" s="116" t="s">
        <v>129</v>
      </c>
      <c r="E106" s="117" t="s">
        <v>104</v>
      </c>
      <c r="F106" s="116"/>
      <c r="G106" s="116" t="s">
        <v>453</v>
      </c>
      <c r="H106" s="116" t="s">
        <v>454</v>
      </c>
      <c r="I106" s="116" t="s">
        <v>455</v>
      </c>
      <c r="J106" s="205">
        <v>39</v>
      </c>
      <c r="K106" s="116" t="s">
        <v>480</v>
      </c>
      <c r="L106" s="116" t="s">
        <v>658</v>
      </c>
      <c r="M106" s="116" t="s">
        <v>412</v>
      </c>
      <c r="N106" s="116" t="s">
        <v>659</v>
      </c>
    </row>
    <row r="107" spans="1:14" ht="18.75" customHeight="1" x14ac:dyDescent="0.25">
      <c r="A107" s="115">
        <v>25</v>
      </c>
      <c r="B107" s="116" t="s">
        <v>138</v>
      </c>
      <c r="C107" s="116" t="s">
        <v>139</v>
      </c>
      <c r="D107" s="116" t="s">
        <v>129</v>
      </c>
      <c r="E107" s="117" t="s">
        <v>104</v>
      </c>
      <c r="F107" s="116"/>
      <c r="G107" s="116" t="s">
        <v>457</v>
      </c>
      <c r="H107" s="116" t="s">
        <v>458</v>
      </c>
      <c r="I107" s="116" t="s">
        <v>459</v>
      </c>
      <c r="J107" s="205">
        <v>26</v>
      </c>
      <c r="K107" s="116" t="s">
        <v>36</v>
      </c>
      <c r="L107" s="116" t="s">
        <v>671</v>
      </c>
      <c r="M107" s="116" t="s">
        <v>104</v>
      </c>
      <c r="N107" s="116" t="s">
        <v>657</v>
      </c>
    </row>
    <row r="108" spans="1:14" ht="18.75" customHeight="1" x14ac:dyDescent="0.25">
      <c r="A108" s="115" t="s">
        <v>709</v>
      </c>
      <c r="B108" s="116" t="s">
        <v>138</v>
      </c>
      <c r="C108" s="116" t="s">
        <v>139</v>
      </c>
      <c r="D108" s="116" t="s">
        <v>129</v>
      </c>
      <c r="E108" s="117" t="s">
        <v>104</v>
      </c>
      <c r="F108" s="116"/>
      <c r="G108" s="116" t="s">
        <v>678</v>
      </c>
      <c r="H108" s="116" t="s">
        <v>450</v>
      </c>
      <c r="I108" s="116" t="s">
        <v>377</v>
      </c>
      <c r="J108" s="205">
        <v>28</v>
      </c>
      <c r="K108" s="116"/>
      <c r="L108" s="116"/>
      <c r="M108" s="116"/>
      <c r="N108" s="116"/>
    </row>
    <row r="109" spans="1:14" ht="18.75" customHeight="1" x14ac:dyDescent="0.25">
      <c r="A109" s="115">
        <v>1</v>
      </c>
      <c r="B109" s="116" t="s">
        <v>140</v>
      </c>
      <c r="C109" s="116" t="s">
        <v>141</v>
      </c>
      <c r="D109" s="116" t="s">
        <v>129</v>
      </c>
      <c r="E109" s="117" t="s">
        <v>104</v>
      </c>
      <c r="F109" s="116"/>
      <c r="G109" s="116" t="s">
        <v>353</v>
      </c>
      <c r="H109" s="116" t="s">
        <v>354</v>
      </c>
      <c r="I109" s="116" t="s">
        <v>360</v>
      </c>
      <c r="J109" s="205">
        <v>23</v>
      </c>
      <c r="K109" s="116" t="s">
        <v>36</v>
      </c>
      <c r="L109" s="116" t="s">
        <v>656</v>
      </c>
      <c r="M109" s="116" t="s">
        <v>104</v>
      </c>
      <c r="N109" s="116" t="s">
        <v>657</v>
      </c>
    </row>
    <row r="110" spans="1:14" ht="18.75" customHeight="1" x14ac:dyDescent="0.25">
      <c r="A110" s="115">
        <v>2</v>
      </c>
      <c r="B110" s="116" t="s">
        <v>140</v>
      </c>
      <c r="C110" s="116" t="s">
        <v>141</v>
      </c>
      <c r="D110" s="116" t="s">
        <v>129</v>
      </c>
      <c r="E110" s="117" t="s">
        <v>104</v>
      </c>
      <c r="F110" s="116"/>
      <c r="G110" s="116" t="s">
        <v>363</v>
      </c>
      <c r="H110" s="116" t="s">
        <v>364</v>
      </c>
      <c r="I110" s="116" t="s">
        <v>367</v>
      </c>
      <c r="J110" s="205">
        <v>18</v>
      </c>
      <c r="K110" s="116" t="s">
        <v>480</v>
      </c>
      <c r="L110" s="116" t="s">
        <v>658</v>
      </c>
      <c r="M110" s="116" t="s">
        <v>412</v>
      </c>
      <c r="N110" s="116" t="s">
        <v>659</v>
      </c>
    </row>
    <row r="111" spans="1:14" ht="4.5" customHeight="1" x14ac:dyDescent="0.25">
      <c r="A111" s="105">
        <v>3</v>
      </c>
      <c r="B111" s="105" t="s">
        <v>140</v>
      </c>
      <c r="C111" s="105" t="s">
        <v>141</v>
      </c>
      <c r="D111" s="105" t="s">
        <v>129</v>
      </c>
      <c r="E111" s="105" t="s">
        <v>104</v>
      </c>
      <c r="F111" s="105"/>
      <c r="G111" s="105" t="s">
        <v>369</v>
      </c>
      <c r="H111" s="105" t="s">
        <v>370</v>
      </c>
      <c r="I111" s="105" t="s">
        <v>372</v>
      </c>
      <c r="J111" s="201">
        <v>18</v>
      </c>
      <c r="K111" s="105" t="s">
        <v>480</v>
      </c>
      <c r="L111" s="105" t="s">
        <v>658</v>
      </c>
      <c r="M111" s="105" t="s">
        <v>412</v>
      </c>
      <c r="N111" s="105" t="s">
        <v>659</v>
      </c>
    </row>
    <row r="112" spans="1:14" ht="19.5" customHeight="1" x14ac:dyDescent="0.25">
      <c r="A112" s="264" t="s">
        <v>709</v>
      </c>
      <c r="B112" s="260"/>
      <c r="C112" s="260"/>
      <c r="D112" s="260"/>
      <c r="E112" s="260"/>
      <c r="F112" s="260"/>
      <c r="G112" s="260"/>
      <c r="H112" s="260"/>
      <c r="I112" s="260"/>
      <c r="J112" s="260"/>
      <c r="K112" s="260"/>
      <c r="L112" s="260"/>
      <c r="M112" s="260"/>
      <c r="N112" s="261"/>
    </row>
    <row r="113" spans="1:14" ht="18.75" customHeight="1" x14ac:dyDescent="0.25">
      <c r="A113" s="34">
        <v>5</v>
      </c>
      <c r="B113" s="35" t="s">
        <v>140</v>
      </c>
      <c r="C113" s="35" t="s">
        <v>141</v>
      </c>
      <c r="D113" s="35" t="s">
        <v>129</v>
      </c>
      <c r="E113" s="101" t="s">
        <v>104</v>
      </c>
      <c r="F113" s="35"/>
      <c r="G113" s="35" t="s">
        <v>379</v>
      </c>
      <c r="H113" s="35" t="s">
        <v>380</v>
      </c>
      <c r="I113" s="35" t="s">
        <v>381</v>
      </c>
      <c r="J113" s="198">
        <v>38</v>
      </c>
      <c r="K113" s="35" t="s">
        <v>480</v>
      </c>
      <c r="L113" s="35" t="s">
        <v>658</v>
      </c>
      <c r="M113" s="35" t="s">
        <v>412</v>
      </c>
      <c r="N113" s="35" t="s">
        <v>659</v>
      </c>
    </row>
    <row r="114" spans="1:14" ht="18.75" customHeight="1" x14ac:dyDescent="0.25">
      <c r="A114" s="112">
        <v>6</v>
      </c>
      <c r="B114" s="113" t="s">
        <v>140</v>
      </c>
      <c r="C114" s="113" t="s">
        <v>141</v>
      </c>
      <c r="D114" s="113" t="s">
        <v>129</v>
      </c>
      <c r="E114" s="114" t="s">
        <v>104</v>
      </c>
      <c r="F114" s="113"/>
      <c r="G114" s="113" t="s">
        <v>383</v>
      </c>
      <c r="H114" s="113" t="s">
        <v>384</v>
      </c>
      <c r="I114" s="113" t="s">
        <v>385</v>
      </c>
      <c r="J114" s="204">
        <v>32</v>
      </c>
      <c r="K114" s="113" t="s">
        <v>36</v>
      </c>
      <c r="L114" s="113" t="s">
        <v>661</v>
      </c>
      <c r="M114" s="113" t="s">
        <v>104</v>
      </c>
      <c r="N114" s="113" t="s">
        <v>657</v>
      </c>
    </row>
    <row r="115" spans="1:14" ht="18.75" customHeight="1" x14ac:dyDescent="0.25">
      <c r="A115" s="112">
        <v>7</v>
      </c>
      <c r="B115" s="113" t="s">
        <v>140</v>
      </c>
      <c r="C115" s="113" t="s">
        <v>141</v>
      </c>
      <c r="D115" s="113" t="s">
        <v>129</v>
      </c>
      <c r="E115" s="114" t="s">
        <v>104</v>
      </c>
      <c r="F115" s="113"/>
      <c r="G115" s="113" t="s">
        <v>387</v>
      </c>
      <c r="H115" s="113" t="s">
        <v>388</v>
      </c>
      <c r="I115" s="113" t="s">
        <v>389</v>
      </c>
      <c r="J115" s="204">
        <v>19</v>
      </c>
      <c r="K115" s="113" t="s">
        <v>480</v>
      </c>
      <c r="L115" s="113" t="s">
        <v>658</v>
      </c>
      <c r="M115" s="113" t="s">
        <v>412</v>
      </c>
      <c r="N115" s="113" t="s">
        <v>659</v>
      </c>
    </row>
    <row r="116" spans="1:14" ht="18.75" customHeight="1" x14ac:dyDescent="0.25">
      <c r="A116" s="112">
        <v>8</v>
      </c>
      <c r="B116" s="113" t="s">
        <v>140</v>
      </c>
      <c r="C116" s="113" t="s">
        <v>141</v>
      </c>
      <c r="D116" s="113" t="s">
        <v>129</v>
      </c>
      <c r="E116" s="114" t="s">
        <v>104</v>
      </c>
      <c r="F116" s="113"/>
      <c r="G116" s="113" t="s">
        <v>391</v>
      </c>
      <c r="H116" s="113" t="s">
        <v>392</v>
      </c>
      <c r="I116" s="113" t="s">
        <v>393</v>
      </c>
      <c r="J116" s="204">
        <v>23</v>
      </c>
      <c r="K116" s="113" t="s">
        <v>480</v>
      </c>
      <c r="L116" s="113" t="s">
        <v>658</v>
      </c>
      <c r="M116" s="113" t="s">
        <v>412</v>
      </c>
      <c r="N116" s="113" t="s">
        <v>659</v>
      </c>
    </row>
    <row r="117" spans="1:14" ht="18.75" customHeight="1" x14ac:dyDescent="0.25">
      <c r="A117" s="112">
        <v>9</v>
      </c>
      <c r="B117" s="113" t="s">
        <v>140</v>
      </c>
      <c r="C117" s="113" t="s">
        <v>141</v>
      </c>
      <c r="D117" s="113" t="s">
        <v>129</v>
      </c>
      <c r="E117" s="114" t="s">
        <v>104</v>
      </c>
      <c r="F117" s="113"/>
      <c r="G117" s="113" t="s">
        <v>395</v>
      </c>
      <c r="H117" s="113" t="s">
        <v>396</v>
      </c>
      <c r="I117" s="113" t="s">
        <v>360</v>
      </c>
      <c r="J117" s="204">
        <v>24</v>
      </c>
      <c r="K117" s="113" t="s">
        <v>36</v>
      </c>
      <c r="L117" s="113" t="s">
        <v>662</v>
      </c>
      <c r="M117" s="113" t="s">
        <v>104</v>
      </c>
      <c r="N117" s="113" t="s">
        <v>657</v>
      </c>
    </row>
    <row r="118" spans="1:14" ht="18.75" customHeight="1" x14ac:dyDescent="0.25">
      <c r="A118" s="112">
        <v>10</v>
      </c>
      <c r="B118" s="113" t="s">
        <v>140</v>
      </c>
      <c r="C118" s="113" t="s">
        <v>141</v>
      </c>
      <c r="D118" s="113" t="s">
        <v>129</v>
      </c>
      <c r="E118" s="114" t="s">
        <v>104</v>
      </c>
      <c r="F118" s="113"/>
      <c r="G118" s="113" t="s">
        <v>399</v>
      </c>
      <c r="H118" s="113" t="s">
        <v>400</v>
      </c>
      <c r="I118" s="113" t="s">
        <v>372</v>
      </c>
      <c r="J118" s="204">
        <v>34</v>
      </c>
      <c r="K118" s="113" t="s">
        <v>480</v>
      </c>
      <c r="L118" s="113" t="s">
        <v>658</v>
      </c>
      <c r="M118" s="113" t="s">
        <v>412</v>
      </c>
      <c r="N118" s="113" t="s">
        <v>659</v>
      </c>
    </row>
    <row r="119" spans="1:14" ht="18.75" customHeight="1" x14ac:dyDescent="0.25">
      <c r="A119" s="112">
        <v>11</v>
      </c>
      <c r="B119" s="113" t="s">
        <v>140</v>
      </c>
      <c r="C119" s="113" t="s">
        <v>141</v>
      </c>
      <c r="D119" s="113" t="s">
        <v>129</v>
      </c>
      <c r="E119" s="114" t="s">
        <v>104</v>
      </c>
      <c r="F119" s="113"/>
      <c r="G119" s="113" t="s">
        <v>402</v>
      </c>
      <c r="H119" s="113" t="s">
        <v>403</v>
      </c>
      <c r="I119" s="113" t="s">
        <v>404</v>
      </c>
      <c r="J119" s="204">
        <v>21</v>
      </c>
      <c r="K119" s="113" t="s">
        <v>36</v>
      </c>
      <c r="L119" s="113" t="s">
        <v>663</v>
      </c>
      <c r="M119" s="113" t="s">
        <v>104</v>
      </c>
      <c r="N119" s="113" t="s">
        <v>657</v>
      </c>
    </row>
    <row r="120" spans="1:14" ht="18.75" customHeight="1" x14ac:dyDescent="0.25">
      <c r="A120" s="112">
        <v>12</v>
      </c>
      <c r="B120" s="113" t="s">
        <v>140</v>
      </c>
      <c r="C120" s="113" t="s">
        <v>141</v>
      </c>
      <c r="D120" s="113" t="s">
        <v>129</v>
      </c>
      <c r="E120" s="114" t="s">
        <v>104</v>
      </c>
      <c r="F120" s="113"/>
      <c r="G120" s="113" t="s">
        <v>406</v>
      </c>
      <c r="H120" s="113" t="s">
        <v>407</v>
      </c>
      <c r="I120" s="113" t="s">
        <v>367</v>
      </c>
      <c r="J120" s="204">
        <v>37</v>
      </c>
      <c r="K120" s="113" t="s">
        <v>480</v>
      </c>
      <c r="L120" s="113" t="s">
        <v>658</v>
      </c>
      <c r="M120" s="113" t="s">
        <v>412</v>
      </c>
      <c r="N120" s="113" t="s">
        <v>659</v>
      </c>
    </row>
    <row r="121" spans="1:14" ht="18.75" customHeight="1" x14ac:dyDescent="0.25">
      <c r="A121" s="112">
        <v>13</v>
      </c>
      <c r="B121" s="113" t="s">
        <v>140</v>
      </c>
      <c r="C121" s="113" t="s">
        <v>141</v>
      </c>
      <c r="D121" s="113" t="s">
        <v>129</v>
      </c>
      <c r="E121" s="114" t="s">
        <v>104</v>
      </c>
      <c r="F121" s="113"/>
      <c r="G121" s="113" t="s">
        <v>409</v>
      </c>
      <c r="H121" s="113" t="s">
        <v>410</v>
      </c>
      <c r="I121" s="113" t="s">
        <v>360</v>
      </c>
      <c r="J121" s="204">
        <v>25</v>
      </c>
      <c r="K121" s="113" t="s">
        <v>36</v>
      </c>
      <c r="L121" s="113" t="s">
        <v>664</v>
      </c>
      <c r="M121" s="113" t="s">
        <v>104</v>
      </c>
      <c r="N121" s="113" t="s">
        <v>657</v>
      </c>
    </row>
    <row r="122" spans="1:14" ht="18.75" customHeight="1" x14ac:dyDescent="0.25">
      <c r="A122" s="112">
        <v>14</v>
      </c>
      <c r="B122" s="113" t="s">
        <v>140</v>
      </c>
      <c r="C122" s="113" t="s">
        <v>141</v>
      </c>
      <c r="D122" s="113" t="s">
        <v>129</v>
      </c>
      <c r="E122" s="114" t="s">
        <v>104</v>
      </c>
      <c r="F122" s="113"/>
      <c r="G122" s="113" t="s">
        <v>415</v>
      </c>
      <c r="H122" s="113" t="s">
        <v>416</v>
      </c>
      <c r="I122" s="113" t="s">
        <v>385</v>
      </c>
      <c r="J122" s="204">
        <v>21</v>
      </c>
      <c r="K122" s="113" t="s">
        <v>36</v>
      </c>
      <c r="L122" s="113" t="s">
        <v>665</v>
      </c>
      <c r="M122" s="113" t="s">
        <v>104</v>
      </c>
      <c r="N122" s="113" t="s">
        <v>657</v>
      </c>
    </row>
    <row r="123" spans="1:14" ht="18.75" customHeight="1" x14ac:dyDescent="0.25">
      <c r="A123" s="112">
        <v>15</v>
      </c>
      <c r="B123" s="113" t="s">
        <v>140</v>
      </c>
      <c r="C123" s="113" t="s">
        <v>141</v>
      </c>
      <c r="D123" s="113" t="s">
        <v>129</v>
      </c>
      <c r="E123" s="114" t="s">
        <v>104</v>
      </c>
      <c r="F123" s="113"/>
      <c r="G123" s="113" t="s">
        <v>418</v>
      </c>
      <c r="H123" s="113" t="s">
        <v>419</v>
      </c>
      <c r="I123" s="113" t="s">
        <v>421</v>
      </c>
      <c r="J123" s="204">
        <v>36</v>
      </c>
      <c r="K123" s="113" t="s">
        <v>480</v>
      </c>
      <c r="L123" s="113" t="s">
        <v>658</v>
      </c>
      <c r="M123" s="113" t="s">
        <v>412</v>
      </c>
      <c r="N123" s="113" t="s">
        <v>659</v>
      </c>
    </row>
    <row r="124" spans="1:14" ht="18.75" customHeight="1" x14ac:dyDescent="0.25">
      <c r="A124" s="112">
        <v>16</v>
      </c>
      <c r="B124" s="113" t="s">
        <v>140</v>
      </c>
      <c r="C124" s="113" t="s">
        <v>141</v>
      </c>
      <c r="D124" s="113" t="s">
        <v>129</v>
      </c>
      <c r="E124" s="114" t="s">
        <v>104</v>
      </c>
      <c r="F124" s="113"/>
      <c r="G124" s="113" t="s">
        <v>423</v>
      </c>
      <c r="H124" s="113" t="s">
        <v>424</v>
      </c>
      <c r="I124" s="113" t="s">
        <v>425</v>
      </c>
      <c r="J124" s="204">
        <v>35</v>
      </c>
      <c r="K124" s="113" t="s">
        <v>36</v>
      </c>
      <c r="L124" s="113" t="s">
        <v>666</v>
      </c>
      <c r="M124" s="113" t="s">
        <v>104</v>
      </c>
      <c r="N124" s="113" t="s">
        <v>657</v>
      </c>
    </row>
    <row r="125" spans="1:14" ht="18.75" customHeight="1" x14ac:dyDescent="0.25">
      <c r="A125" s="112">
        <v>17</v>
      </c>
      <c r="B125" s="113" t="s">
        <v>140</v>
      </c>
      <c r="C125" s="113" t="s">
        <v>141</v>
      </c>
      <c r="D125" s="113" t="s">
        <v>129</v>
      </c>
      <c r="E125" s="114" t="s">
        <v>104</v>
      </c>
      <c r="F125" s="113"/>
      <c r="G125" s="113" t="s">
        <v>427</v>
      </c>
      <c r="H125" s="113" t="s">
        <v>428</v>
      </c>
      <c r="I125" s="113" t="s">
        <v>429</v>
      </c>
      <c r="J125" s="204">
        <v>23</v>
      </c>
      <c r="K125" s="113" t="s">
        <v>480</v>
      </c>
      <c r="L125" s="113" t="s">
        <v>658</v>
      </c>
      <c r="M125" s="113" t="s">
        <v>412</v>
      </c>
      <c r="N125" s="113" t="s">
        <v>659</v>
      </c>
    </row>
    <row r="126" spans="1:14" ht="18.75" customHeight="1" x14ac:dyDescent="0.25">
      <c r="A126" s="112">
        <v>18</v>
      </c>
      <c r="B126" s="113" t="s">
        <v>140</v>
      </c>
      <c r="C126" s="113" t="s">
        <v>141</v>
      </c>
      <c r="D126" s="113" t="s">
        <v>129</v>
      </c>
      <c r="E126" s="114" t="s">
        <v>104</v>
      </c>
      <c r="F126" s="113"/>
      <c r="G126" s="113" t="s">
        <v>431</v>
      </c>
      <c r="H126" s="113" t="s">
        <v>432</v>
      </c>
      <c r="I126" s="113" t="s">
        <v>360</v>
      </c>
      <c r="J126" s="204">
        <v>31</v>
      </c>
      <c r="K126" s="113" t="s">
        <v>36</v>
      </c>
      <c r="L126" s="113" t="s">
        <v>667</v>
      </c>
      <c r="M126" s="113" t="s">
        <v>104</v>
      </c>
      <c r="N126" s="113" t="s">
        <v>657</v>
      </c>
    </row>
    <row r="127" spans="1:14" ht="18.75" customHeight="1" x14ac:dyDescent="0.25">
      <c r="A127" s="112">
        <v>19</v>
      </c>
      <c r="B127" s="113" t="s">
        <v>140</v>
      </c>
      <c r="C127" s="113" t="s">
        <v>141</v>
      </c>
      <c r="D127" s="113" t="s">
        <v>129</v>
      </c>
      <c r="E127" s="114" t="s">
        <v>104</v>
      </c>
      <c r="F127" s="113"/>
      <c r="G127" s="113" t="s">
        <v>434</v>
      </c>
      <c r="H127" s="113" t="s">
        <v>435</v>
      </c>
      <c r="I127" s="113" t="s">
        <v>436</v>
      </c>
      <c r="J127" s="204">
        <v>30</v>
      </c>
      <c r="K127" s="113" t="s">
        <v>480</v>
      </c>
      <c r="L127" s="113" t="s">
        <v>658</v>
      </c>
      <c r="M127" s="113" t="s">
        <v>412</v>
      </c>
      <c r="N127" s="113" t="s">
        <v>659</v>
      </c>
    </row>
    <row r="128" spans="1:14" ht="18.75" customHeight="1" x14ac:dyDescent="0.25">
      <c r="A128" s="112">
        <v>20</v>
      </c>
      <c r="B128" s="113" t="s">
        <v>140</v>
      </c>
      <c r="C128" s="113" t="s">
        <v>141</v>
      </c>
      <c r="D128" s="113" t="s">
        <v>129</v>
      </c>
      <c r="E128" s="114" t="s">
        <v>104</v>
      </c>
      <c r="F128" s="113"/>
      <c r="G128" s="113" t="s">
        <v>438</v>
      </c>
      <c r="H128" s="113" t="s">
        <v>439</v>
      </c>
      <c r="I128" s="113" t="s">
        <v>440</v>
      </c>
      <c r="J128" s="204">
        <v>23</v>
      </c>
      <c r="K128" s="113" t="s">
        <v>36</v>
      </c>
      <c r="L128" s="113" t="s">
        <v>668</v>
      </c>
      <c r="M128" s="113" t="s">
        <v>104</v>
      </c>
      <c r="N128" s="113" t="s">
        <v>657</v>
      </c>
    </row>
    <row r="129" spans="1:14" ht="18.75" customHeight="1" x14ac:dyDescent="0.25">
      <c r="A129" s="112">
        <v>21</v>
      </c>
      <c r="B129" s="113" t="s">
        <v>140</v>
      </c>
      <c r="C129" s="113" t="s">
        <v>141</v>
      </c>
      <c r="D129" s="113" t="s">
        <v>129</v>
      </c>
      <c r="E129" s="114" t="s">
        <v>104</v>
      </c>
      <c r="F129" s="113"/>
      <c r="G129" s="113" t="s">
        <v>442</v>
      </c>
      <c r="H129" s="113" t="s">
        <v>443</v>
      </c>
      <c r="I129" s="113" t="s">
        <v>381</v>
      </c>
      <c r="J129" s="204">
        <v>16</v>
      </c>
      <c r="K129" s="113" t="s">
        <v>480</v>
      </c>
      <c r="L129" s="113" t="s">
        <v>658</v>
      </c>
      <c r="M129" s="113" t="s">
        <v>412</v>
      </c>
      <c r="N129" s="113" t="s">
        <v>659</v>
      </c>
    </row>
    <row r="130" spans="1:14" ht="18.75" customHeight="1" x14ac:dyDescent="0.25">
      <c r="A130" s="112">
        <v>22</v>
      </c>
      <c r="B130" s="113" t="s">
        <v>140</v>
      </c>
      <c r="C130" s="113" t="s">
        <v>141</v>
      </c>
      <c r="D130" s="113" t="s">
        <v>129</v>
      </c>
      <c r="E130" s="114" t="s">
        <v>104</v>
      </c>
      <c r="F130" s="113"/>
      <c r="G130" s="113" t="s">
        <v>445</v>
      </c>
      <c r="H130" s="113" t="s">
        <v>446</v>
      </c>
      <c r="I130" s="113" t="s">
        <v>372</v>
      </c>
      <c r="J130" s="204">
        <v>17</v>
      </c>
      <c r="K130" s="113" t="s">
        <v>36</v>
      </c>
      <c r="L130" s="113" t="s">
        <v>669</v>
      </c>
      <c r="M130" s="113" t="s">
        <v>104</v>
      </c>
      <c r="N130" s="113" t="s">
        <v>657</v>
      </c>
    </row>
    <row r="131" spans="1:14" ht="18.75" customHeight="1" x14ac:dyDescent="0.25">
      <c r="A131" s="112">
        <v>23</v>
      </c>
      <c r="B131" s="113" t="s">
        <v>140</v>
      </c>
      <c r="C131" s="113" t="s">
        <v>141</v>
      </c>
      <c r="D131" s="113" t="s">
        <v>129</v>
      </c>
      <c r="E131" s="114" t="s">
        <v>104</v>
      </c>
      <c r="F131" s="113"/>
      <c r="G131" s="113" t="s">
        <v>449</v>
      </c>
      <c r="H131" s="113" t="s">
        <v>450</v>
      </c>
      <c r="I131" s="113" t="s">
        <v>451</v>
      </c>
      <c r="J131" s="204">
        <v>35</v>
      </c>
      <c r="K131" s="113" t="s">
        <v>36</v>
      </c>
      <c r="L131" s="113" t="s">
        <v>670</v>
      </c>
      <c r="M131" s="113" t="s">
        <v>104</v>
      </c>
      <c r="N131" s="113" t="s">
        <v>657</v>
      </c>
    </row>
    <row r="132" spans="1:14" ht="18.75" customHeight="1" x14ac:dyDescent="0.25">
      <c r="A132" s="112">
        <v>24</v>
      </c>
      <c r="B132" s="113" t="s">
        <v>140</v>
      </c>
      <c r="C132" s="113" t="s">
        <v>141</v>
      </c>
      <c r="D132" s="113" t="s">
        <v>129</v>
      </c>
      <c r="E132" s="114" t="s">
        <v>104</v>
      </c>
      <c r="F132" s="113"/>
      <c r="G132" s="113" t="s">
        <v>453</v>
      </c>
      <c r="H132" s="113" t="s">
        <v>454</v>
      </c>
      <c r="I132" s="113" t="s">
        <v>455</v>
      </c>
      <c r="J132" s="204">
        <v>28</v>
      </c>
      <c r="K132" s="113" t="s">
        <v>480</v>
      </c>
      <c r="L132" s="113" t="s">
        <v>658</v>
      </c>
      <c r="M132" s="113" t="s">
        <v>412</v>
      </c>
      <c r="N132" s="113" t="s">
        <v>659</v>
      </c>
    </row>
    <row r="133" spans="1:14" ht="18.75" customHeight="1" x14ac:dyDescent="0.25">
      <c r="A133" s="112">
        <v>25</v>
      </c>
      <c r="B133" s="113" t="s">
        <v>140</v>
      </c>
      <c r="C133" s="113" t="s">
        <v>141</v>
      </c>
      <c r="D133" s="113" t="s">
        <v>129</v>
      </c>
      <c r="E133" s="114" t="s">
        <v>104</v>
      </c>
      <c r="F133" s="113"/>
      <c r="G133" s="113" t="s">
        <v>457</v>
      </c>
      <c r="H133" s="113" t="s">
        <v>458</v>
      </c>
      <c r="I133" s="113" t="s">
        <v>459</v>
      </c>
      <c r="J133" s="204">
        <v>23</v>
      </c>
      <c r="K133" s="113" t="s">
        <v>36</v>
      </c>
      <c r="L133" s="113" t="s">
        <v>671</v>
      </c>
      <c r="M133" s="113" t="s">
        <v>104</v>
      </c>
      <c r="N133" s="113" t="s">
        <v>657</v>
      </c>
    </row>
    <row r="134" spans="1:14" ht="18.75" customHeight="1" x14ac:dyDescent="0.25">
      <c r="A134" s="112" t="s">
        <v>710</v>
      </c>
      <c r="B134" s="113" t="s">
        <v>140</v>
      </c>
      <c r="C134" s="113" t="s">
        <v>141</v>
      </c>
      <c r="D134" s="113" t="s">
        <v>129</v>
      </c>
      <c r="E134" s="114" t="s">
        <v>104</v>
      </c>
      <c r="F134" s="113"/>
      <c r="G134" s="113" t="s">
        <v>680</v>
      </c>
      <c r="H134" s="113" t="s">
        <v>446</v>
      </c>
      <c r="I134" s="113" t="s">
        <v>389</v>
      </c>
      <c r="J134" s="204">
        <v>16</v>
      </c>
      <c r="K134" s="113"/>
      <c r="L134" s="113"/>
      <c r="M134" s="113"/>
      <c r="N134" s="113"/>
    </row>
    <row r="135" spans="1:14" ht="18.75" customHeight="1" x14ac:dyDescent="0.25">
      <c r="A135" s="112">
        <v>1</v>
      </c>
      <c r="B135" s="113" t="s">
        <v>142</v>
      </c>
      <c r="C135" s="113" t="s">
        <v>143</v>
      </c>
      <c r="D135" s="113" t="s">
        <v>129</v>
      </c>
      <c r="E135" s="114" t="s">
        <v>104</v>
      </c>
      <c r="F135" s="113"/>
      <c r="G135" s="113" t="s">
        <v>353</v>
      </c>
      <c r="H135" s="113" t="s">
        <v>354</v>
      </c>
      <c r="I135" s="113" t="s">
        <v>360</v>
      </c>
      <c r="J135" s="204">
        <v>20</v>
      </c>
      <c r="K135" s="113" t="s">
        <v>36</v>
      </c>
      <c r="L135" s="113" t="s">
        <v>656</v>
      </c>
      <c r="M135" s="113" t="s">
        <v>104</v>
      </c>
      <c r="N135" s="113" t="s">
        <v>657</v>
      </c>
    </row>
    <row r="136" spans="1:14" ht="18.75" customHeight="1" x14ac:dyDescent="0.25">
      <c r="A136" s="112">
        <v>2</v>
      </c>
      <c r="B136" s="113" t="s">
        <v>142</v>
      </c>
      <c r="C136" s="113" t="s">
        <v>143</v>
      </c>
      <c r="D136" s="113" t="s">
        <v>129</v>
      </c>
      <c r="E136" s="114" t="s">
        <v>104</v>
      </c>
      <c r="F136" s="113"/>
      <c r="G136" s="113" t="s">
        <v>363</v>
      </c>
      <c r="H136" s="113" t="s">
        <v>364</v>
      </c>
      <c r="I136" s="113" t="s">
        <v>367</v>
      </c>
      <c r="J136" s="204">
        <v>30</v>
      </c>
      <c r="K136" s="113" t="s">
        <v>480</v>
      </c>
      <c r="L136" s="113" t="s">
        <v>658</v>
      </c>
      <c r="M136" s="113" t="s">
        <v>412</v>
      </c>
      <c r="N136" s="113" t="s">
        <v>659</v>
      </c>
    </row>
    <row r="137" spans="1:14" ht="18.75" customHeight="1" x14ac:dyDescent="0.25">
      <c r="A137" s="112">
        <v>3</v>
      </c>
      <c r="B137" s="113" t="s">
        <v>142</v>
      </c>
      <c r="C137" s="113" t="s">
        <v>143</v>
      </c>
      <c r="D137" s="113" t="s">
        <v>129</v>
      </c>
      <c r="E137" s="114" t="s">
        <v>104</v>
      </c>
      <c r="F137" s="113"/>
      <c r="G137" s="113" t="s">
        <v>369</v>
      </c>
      <c r="H137" s="113" t="s">
        <v>370</v>
      </c>
      <c r="I137" s="113" t="s">
        <v>372</v>
      </c>
      <c r="J137" s="204">
        <v>44</v>
      </c>
      <c r="K137" s="113" t="s">
        <v>480</v>
      </c>
      <c r="L137" s="113" t="s">
        <v>658</v>
      </c>
      <c r="M137" s="113" t="s">
        <v>412</v>
      </c>
      <c r="N137" s="113" t="s">
        <v>659</v>
      </c>
    </row>
    <row r="138" spans="1:14" ht="4.5" customHeight="1" x14ac:dyDescent="0.25">
      <c r="A138" s="105">
        <v>4</v>
      </c>
      <c r="B138" s="105" t="s">
        <v>142</v>
      </c>
      <c r="C138" s="105" t="s">
        <v>143</v>
      </c>
      <c r="D138" s="105" t="s">
        <v>129</v>
      </c>
      <c r="E138" s="105" t="s">
        <v>104</v>
      </c>
      <c r="F138" s="105"/>
      <c r="G138" s="105" t="s">
        <v>374</v>
      </c>
      <c r="H138" s="105" t="s">
        <v>375</v>
      </c>
      <c r="I138" s="105" t="s">
        <v>377</v>
      </c>
      <c r="J138" s="201">
        <v>24</v>
      </c>
      <c r="K138" s="105" t="s">
        <v>36</v>
      </c>
      <c r="L138" s="105" t="s">
        <v>660</v>
      </c>
      <c r="M138" s="105" t="s">
        <v>104</v>
      </c>
      <c r="N138" s="105" t="s">
        <v>657</v>
      </c>
    </row>
    <row r="139" spans="1:14" ht="19.5" customHeight="1" x14ac:dyDescent="0.25">
      <c r="A139" s="264" t="s">
        <v>710</v>
      </c>
      <c r="B139" s="260"/>
      <c r="C139" s="260"/>
      <c r="D139" s="260"/>
      <c r="E139" s="260"/>
      <c r="F139" s="260"/>
      <c r="G139" s="260"/>
      <c r="H139" s="260"/>
      <c r="I139" s="260"/>
      <c r="J139" s="260"/>
      <c r="K139" s="260"/>
      <c r="L139" s="260"/>
      <c r="M139" s="260"/>
      <c r="N139" s="261"/>
    </row>
    <row r="140" spans="1:14" ht="18.75" customHeight="1" x14ac:dyDescent="0.25">
      <c r="A140" s="34">
        <v>6</v>
      </c>
      <c r="B140" s="35" t="s">
        <v>142</v>
      </c>
      <c r="C140" s="35" t="s">
        <v>143</v>
      </c>
      <c r="D140" s="35" t="s">
        <v>129</v>
      </c>
      <c r="E140" s="101" t="s">
        <v>104</v>
      </c>
      <c r="F140" s="35"/>
      <c r="G140" s="35" t="s">
        <v>383</v>
      </c>
      <c r="H140" s="35" t="s">
        <v>384</v>
      </c>
      <c r="I140" s="35" t="s">
        <v>385</v>
      </c>
      <c r="J140" s="198">
        <v>40</v>
      </c>
      <c r="K140" s="35" t="s">
        <v>36</v>
      </c>
      <c r="L140" s="35" t="s">
        <v>661</v>
      </c>
      <c r="M140" s="35" t="s">
        <v>104</v>
      </c>
      <c r="N140" s="35" t="s">
        <v>657</v>
      </c>
    </row>
    <row r="141" spans="1:14" ht="18.75" customHeight="1" x14ac:dyDescent="0.25">
      <c r="A141" s="115">
        <v>7</v>
      </c>
      <c r="B141" s="116" t="s">
        <v>142</v>
      </c>
      <c r="C141" s="116" t="s">
        <v>143</v>
      </c>
      <c r="D141" s="116" t="s">
        <v>129</v>
      </c>
      <c r="E141" s="117" t="s">
        <v>104</v>
      </c>
      <c r="F141" s="116"/>
      <c r="G141" s="116" t="s">
        <v>387</v>
      </c>
      <c r="H141" s="116" t="s">
        <v>388</v>
      </c>
      <c r="I141" s="116" t="s">
        <v>389</v>
      </c>
      <c r="J141" s="205">
        <v>28</v>
      </c>
      <c r="K141" s="116" t="s">
        <v>480</v>
      </c>
      <c r="L141" s="116" t="s">
        <v>658</v>
      </c>
      <c r="M141" s="116" t="s">
        <v>412</v>
      </c>
      <c r="N141" s="116" t="s">
        <v>659</v>
      </c>
    </row>
    <row r="142" spans="1:14" ht="18.75" customHeight="1" x14ac:dyDescent="0.25">
      <c r="A142" s="115">
        <v>8</v>
      </c>
      <c r="B142" s="116" t="s">
        <v>142</v>
      </c>
      <c r="C142" s="116" t="s">
        <v>143</v>
      </c>
      <c r="D142" s="116" t="s">
        <v>129</v>
      </c>
      <c r="E142" s="117" t="s">
        <v>104</v>
      </c>
      <c r="F142" s="116"/>
      <c r="G142" s="116" t="s">
        <v>391</v>
      </c>
      <c r="H142" s="116" t="s">
        <v>392</v>
      </c>
      <c r="I142" s="116" t="s">
        <v>393</v>
      </c>
      <c r="J142" s="205">
        <v>25</v>
      </c>
      <c r="K142" s="116" t="s">
        <v>480</v>
      </c>
      <c r="L142" s="116" t="s">
        <v>658</v>
      </c>
      <c r="M142" s="116" t="s">
        <v>412</v>
      </c>
      <c r="N142" s="116" t="s">
        <v>659</v>
      </c>
    </row>
    <row r="143" spans="1:14" ht="18.75" customHeight="1" x14ac:dyDescent="0.25">
      <c r="A143" s="115">
        <v>9</v>
      </c>
      <c r="B143" s="116" t="s">
        <v>142</v>
      </c>
      <c r="C143" s="116" t="s">
        <v>143</v>
      </c>
      <c r="D143" s="116" t="s">
        <v>129</v>
      </c>
      <c r="E143" s="117" t="s">
        <v>104</v>
      </c>
      <c r="F143" s="116"/>
      <c r="G143" s="116" t="s">
        <v>395</v>
      </c>
      <c r="H143" s="116" t="s">
        <v>396</v>
      </c>
      <c r="I143" s="116" t="s">
        <v>360</v>
      </c>
      <c r="J143" s="205">
        <v>43</v>
      </c>
      <c r="K143" s="116" t="s">
        <v>36</v>
      </c>
      <c r="L143" s="116" t="s">
        <v>662</v>
      </c>
      <c r="M143" s="116" t="s">
        <v>104</v>
      </c>
      <c r="N143" s="116" t="s">
        <v>657</v>
      </c>
    </row>
    <row r="144" spans="1:14" ht="18.75" customHeight="1" x14ac:dyDescent="0.25">
      <c r="A144" s="115">
        <v>10</v>
      </c>
      <c r="B144" s="116" t="s">
        <v>142</v>
      </c>
      <c r="C144" s="116" t="s">
        <v>143</v>
      </c>
      <c r="D144" s="116" t="s">
        <v>129</v>
      </c>
      <c r="E144" s="117" t="s">
        <v>104</v>
      </c>
      <c r="F144" s="116"/>
      <c r="G144" s="116" t="s">
        <v>399</v>
      </c>
      <c r="H144" s="116" t="s">
        <v>400</v>
      </c>
      <c r="I144" s="116" t="s">
        <v>372</v>
      </c>
      <c r="J144" s="205">
        <v>34</v>
      </c>
      <c r="K144" s="116" t="s">
        <v>480</v>
      </c>
      <c r="L144" s="116" t="s">
        <v>658</v>
      </c>
      <c r="M144" s="116" t="s">
        <v>412</v>
      </c>
      <c r="N144" s="116" t="s">
        <v>659</v>
      </c>
    </row>
    <row r="145" spans="1:14" ht="18.75" customHeight="1" x14ac:dyDescent="0.25">
      <c r="A145" s="115">
        <v>11</v>
      </c>
      <c r="B145" s="116" t="s">
        <v>142</v>
      </c>
      <c r="C145" s="116" t="s">
        <v>143</v>
      </c>
      <c r="D145" s="116" t="s">
        <v>129</v>
      </c>
      <c r="E145" s="117" t="s">
        <v>104</v>
      </c>
      <c r="F145" s="116"/>
      <c r="G145" s="116" t="s">
        <v>402</v>
      </c>
      <c r="H145" s="116" t="s">
        <v>403</v>
      </c>
      <c r="I145" s="116" t="s">
        <v>404</v>
      </c>
      <c r="J145" s="205">
        <v>37</v>
      </c>
      <c r="K145" s="116" t="s">
        <v>36</v>
      </c>
      <c r="L145" s="116" t="s">
        <v>663</v>
      </c>
      <c r="M145" s="116" t="s">
        <v>104</v>
      </c>
      <c r="N145" s="116" t="s">
        <v>657</v>
      </c>
    </row>
    <row r="146" spans="1:14" ht="18.75" customHeight="1" x14ac:dyDescent="0.25">
      <c r="A146" s="115">
        <v>12</v>
      </c>
      <c r="B146" s="116" t="s">
        <v>142</v>
      </c>
      <c r="C146" s="116" t="s">
        <v>143</v>
      </c>
      <c r="D146" s="116" t="s">
        <v>129</v>
      </c>
      <c r="E146" s="117" t="s">
        <v>104</v>
      </c>
      <c r="F146" s="116"/>
      <c r="G146" s="116" t="s">
        <v>406</v>
      </c>
      <c r="H146" s="116" t="s">
        <v>407</v>
      </c>
      <c r="I146" s="116" t="s">
        <v>367</v>
      </c>
      <c r="J146" s="205">
        <v>42</v>
      </c>
      <c r="K146" s="116" t="s">
        <v>480</v>
      </c>
      <c r="L146" s="116" t="s">
        <v>658</v>
      </c>
      <c r="M146" s="116" t="s">
        <v>412</v>
      </c>
      <c r="N146" s="116" t="s">
        <v>659</v>
      </c>
    </row>
    <row r="147" spans="1:14" ht="18.75" customHeight="1" x14ac:dyDescent="0.25">
      <c r="A147" s="115">
        <v>13</v>
      </c>
      <c r="B147" s="116" t="s">
        <v>142</v>
      </c>
      <c r="C147" s="116" t="s">
        <v>143</v>
      </c>
      <c r="D147" s="116" t="s">
        <v>129</v>
      </c>
      <c r="E147" s="117" t="s">
        <v>104</v>
      </c>
      <c r="F147" s="116"/>
      <c r="G147" s="116" t="s">
        <v>409</v>
      </c>
      <c r="H147" s="116" t="s">
        <v>410</v>
      </c>
      <c r="I147" s="116" t="s">
        <v>360</v>
      </c>
      <c r="J147" s="205">
        <v>33</v>
      </c>
      <c r="K147" s="116" t="s">
        <v>36</v>
      </c>
      <c r="L147" s="116" t="s">
        <v>664</v>
      </c>
      <c r="M147" s="116" t="s">
        <v>104</v>
      </c>
      <c r="N147" s="116" t="s">
        <v>657</v>
      </c>
    </row>
    <row r="148" spans="1:14" ht="18.75" customHeight="1" x14ac:dyDescent="0.25">
      <c r="A148" s="115">
        <v>14</v>
      </c>
      <c r="B148" s="116" t="s">
        <v>142</v>
      </c>
      <c r="C148" s="116" t="s">
        <v>143</v>
      </c>
      <c r="D148" s="116" t="s">
        <v>129</v>
      </c>
      <c r="E148" s="117" t="s">
        <v>104</v>
      </c>
      <c r="F148" s="116"/>
      <c r="G148" s="116" t="s">
        <v>415</v>
      </c>
      <c r="H148" s="116" t="s">
        <v>416</v>
      </c>
      <c r="I148" s="116" t="s">
        <v>385</v>
      </c>
      <c r="J148" s="205">
        <v>37</v>
      </c>
      <c r="K148" s="116" t="s">
        <v>36</v>
      </c>
      <c r="L148" s="116" t="s">
        <v>665</v>
      </c>
      <c r="M148" s="116" t="s">
        <v>104</v>
      </c>
      <c r="N148" s="116" t="s">
        <v>657</v>
      </c>
    </row>
    <row r="149" spans="1:14" ht="18.75" customHeight="1" x14ac:dyDescent="0.25">
      <c r="A149" s="115">
        <v>15</v>
      </c>
      <c r="B149" s="116" t="s">
        <v>142</v>
      </c>
      <c r="C149" s="116" t="s">
        <v>143</v>
      </c>
      <c r="D149" s="116" t="s">
        <v>129</v>
      </c>
      <c r="E149" s="117" t="s">
        <v>104</v>
      </c>
      <c r="F149" s="116"/>
      <c r="G149" s="116" t="s">
        <v>418</v>
      </c>
      <c r="H149" s="116" t="s">
        <v>419</v>
      </c>
      <c r="I149" s="116" t="s">
        <v>421</v>
      </c>
      <c r="J149" s="205">
        <v>20</v>
      </c>
      <c r="K149" s="116" t="s">
        <v>480</v>
      </c>
      <c r="L149" s="116" t="s">
        <v>658</v>
      </c>
      <c r="M149" s="116" t="s">
        <v>412</v>
      </c>
      <c r="N149" s="116" t="s">
        <v>659</v>
      </c>
    </row>
    <row r="150" spans="1:14" ht="18.75" customHeight="1" x14ac:dyDescent="0.25">
      <c r="A150" s="115">
        <v>16</v>
      </c>
      <c r="B150" s="116" t="s">
        <v>142</v>
      </c>
      <c r="C150" s="116" t="s">
        <v>143</v>
      </c>
      <c r="D150" s="116" t="s">
        <v>129</v>
      </c>
      <c r="E150" s="117" t="s">
        <v>104</v>
      </c>
      <c r="F150" s="116"/>
      <c r="G150" s="116" t="s">
        <v>423</v>
      </c>
      <c r="H150" s="116" t="s">
        <v>424</v>
      </c>
      <c r="I150" s="116" t="s">
        <v>425</v>
      </c>
      <c r="J150" s="205">
        <v>23</v>
      </c>
      <c r="K150" s="116" t="s">
        <v>36</v>
      </c>
      <c r="L150" s="116" t="s">
        <v>666</v>
      </c>
      <c r="M150" s="116" t="s">
        <v>104</v>
      </c>
      <c r="N150" s="116" t="s">
        <v>657</v>
      </c>
    </row>
    <row r="151" spans="1:14" ht="18.75" customHeight="1" x14ac:dyDescent="0.25">
      <c r="A151" s="115">
        <v>17</v>
      </c>
      <c r="B151" s="116" t="s">
        <v>142</v>
      </c>
      <c r="C151" s="116" t="s">
        <v>143</v>
      </c>
      <c r="D151" s="116" t="s">
        <v>129</v>
      </c>
      <c r="E151" s="117" t="s">
        <v>104</v>
      </c>
      <c r="F151" s="116"/>
      <c r="G151" s="116" t="s">
        <v>427</v>
      </c>
      <c r="H151" s="116" t="s">
        <v>428</v>
      </c>
      <c r="I151" s="116" t="s">
        <v>429</v>
      </c>
      <c r="J151" s="205">
        <v>22</v>
      </c>
      <c r="K151" s="116" t="s">
        <v>480</v>
      </c>
      <c r="L151" s="116" t="s">
        <v>658</v>
      </c>
      <c r="M151" s="116" t="s">
        <v>412</v>
      </c>
      <c r="N151" s="116" t="s">
        <v>659</v>
      </c>
    </row>
    <row r="152" spans="1:14" ht="18.75" customHeight="1" x14ac:dyDescent="0.25">
      <c r="A152" s="115">
        <v>18</v>
      </c>
      <c r="B152" s="116" t="s">
        <v>142</v>
      </c>
      <c r="C152" s="116" t="s">
        <v>143</v>
      </c>
      <c r="D152" s="116" t="s">
        <v>129</v>
      </c>
      <c r="E152" s="117" t="s">
        <v>104</v>
      </c>
      <c r="F152" s="116"/>
      <c r="G152" s="116" t="s">
        <v>431</v>
      </c>
      <c r="H152" s="116" t="s">
        <v>432</v>
      </c>
      <c r="I152" s="116" t="s">
        <v>360</v>
      </c>
      <c r="J152" s="205">
        <v>50</v>
      </c>
      <c r="K152" s="116" t="s">
        <v>36</v>
      </c>
      <c r="L152" s="116" t="s">
        <v>667</v>
      </c>
      <c r="M152" s="116" t="s">
        <v>104</v>
      </c>
      <c r="N152" s="116" t="s">
        <v>657</v>
      </c>
    </row>
    <row r="153" spans="1:14" ht="18.75" customHeight="1" x14ac:dyDescent="0.25">
      <c r="A153" s="115">
        <v>19</v>
      </c>
      <c r="B153" s="116" t="s">
        <v>142</v>
      </c>
      <c r="C153" s="116" t="s">
        <v>143</v>
      </c>
      <c r="D153" s="116" t="s">
        <v>129</v>
      </c>
      <c r="E153" s="117" t="s">
        <v>104</v>
      </c>
      <c r="F153" s="116"/>
      <c r="G153" s="116" t="s">
        <v>434</v>
      </c>
      <c r="H153" s="116" t="s">
        <v>435</v>
      </c>
      <c r="I153" s="116" t="s">
        <v>436</v>
      </c>
      <c r="J153" s="205">
        <v>48</v>
      </c>
      <c r="K153" s="116" t="s">
        <v>480</v>
      </c>
      <c r="L153" s="116" t="s">
        <v>658</v>
      </c>
      <c r="M153" s="116" t="s">
        <v>412</v>
      </c>
      <c r="N153" s="116" t="s">
        <v>659</v>
      </c>
    </row>
    <row r="154" spans="1:14" ht="18.75" customHeight="1" x14ac:dyDescent="0.25">
      <c r="A154" s="115">
        <v>20</v>
      </c>
      <c r="B154" s="116" t="s">
        <v>142</v>
      </c>
      <c r="C154" s="116" t="s">
        <v>143</v>
      </c>
      <c r="D154" s="116" t="s">
        <v>129</v>
      </c>
      <c r="E154" s="117" t="s">
        <v>104</v>
      </c>
      <c r="F154" s="116"/>
      <c r="G154" s="116" t="s">
        <v>438</v>
      </c>
      <c r="H154" s="116" t="s">
        <v>439</v>
      </c>
      <c r="I154" s="116" t="s">
        <v>440</v>
      </c>
      <c r="J154" s="205">
        <v>42</v>
      </c>
      <c r="K154" s="116" t="s">
        <v>36</v>
      </c>
      <c r="L154" s="116" t="s">
        <v>668</v>
      </c>
      <c r="M154" s="116" t="s">
        <v>104</v>
      </c>
      <c r="N154" s="116" t="s">
        <v>657</v>
      </c>
    </row>
    <row r="155" spans="1:14" ht="18.75" customHeight="1" x14ac:dyDescent="0.25">
      <c r="A155" s="115">
        <v>21</v>
      </c>
      <c r="B155" s="116" t="s">
        <v>142</v>
      </c>
      <c r="C155" s="116" t="s">
        <v>143</v>
      </c>
      <c r="D155" s="116" t="s">
        <v>129</v>
      </c>
      <c r="E155" s="117" t="s">
        <v>104</v>
      </c>
      <c r="F155" s="116"/>
      <c r="G155" s="116" t="s">
        <v>442</v>
      </c>
      <c r="H155" s="116" t="s">
        <v>443</v>
      </c>
      <c r="I155" s="116" t="s">
        <v>381</v>
      </c>
      <c r="J155" s="205">
        <v>48</v>
      </c>
      <c r="K155" s="116" t="s">
        <v>480</v>
      </c>
      <c r="L155" s="116" t="s">
        <v>658</v>
      </c>
      <c r="M155" s="116" t="s">
        <v>412</v>
      </c>
      <c r="N155" s="116" t="s">
        <v>659</v>
      </c>
    </row>
    <row r="156" spans="1:14" ht="18.75" customHeight="1" x14ac:dyDescent="0.25">
      <c r="A156" s="115">
        <v>22</v>
      </c>
      <c r="B156" s="116" t="s">
        <v>142</v>
      </c>
      <c r="C156" s="116" t="s">
        <v>143</v>
      </c>
      <c r="D156" s="116" t="s">
        <v>129</v>
      </c>
      <c r="E156" s="117" t="s">
        <v>104</v>
      </c>
      <c r="F156" s="116"/>
      <c r="G156" s="116" t="s">
        <v>445</v>
      </c>
      <c r="H156" s="116" t="s">
        <v>446</v>
      </c>
      <c r="I156" s="116" t="s">
        <v>372</v>
      </c>
      <c r="J156" s="205">
        <v>24</v>
      </c>
      <c r="K156" s="116" t="s">
        <v>36</v>
      </c>
      <c r="L156" s="116" t="s">
        <v>669</v>
      </c>
      <c r="M156" s="116" t="s">
        <v>104</v>
      </c>
      <c r="N156" s="116" t="s">
        <v>657</v>
      </c>
    </row>
    <row r="157" spans="1:14" ht="18.75" customHeight="1" x14ac:dyDescent="0.25">
      <c r="A157" s="115">
        <v>23</v>
      </c>
      <c r="B157" s="116" t="s">
        <v>142</v>
      </c>
      <c r="C157" s="116" t="s">
        <v>143</v>
      </c>
      <c r="D157" s="116" t="s">
        <v>129</v>
      </c>
      <c r="E157" s="117" t="s">
        <v>104</v>
      </c>
      <c r="F157" s="116"/>
      <c r="G157" s="116" t="s">
        <v>449</v>
      </c>
      <c r="H157" s="116" t="s">
        <v>450</v>
      </c>
      <c r="I157" s="116" t="s">
        <v>451</v>
      </c>
      <c r="J157" s="205">
        <v>37</v>
      </c>
      <c r="K157" s="116" t="s">
        <v>36</v>
      </c>
      <c r="L157" s="116" t="s">
        <v>670</v>
      </c>
      <c r="M157" s="116" t="s">
        <v>104</v>
      </c>
      <c r="N157" s="116" t="s">
        <v>657</v>
      </c>
    </row>
    <row r="158" spans="1:14" ht="18.75" customHeight="1" x14ac:dyDescent="0.25">
      <c r="A158" s="115">
        <v>24</v>
      </c>
      <c r="B158" s="116" t="s">
        <v>142</v>
      </c>
      <c r="C158" s="116" t="s">
        <v>143</v>
      </c>
      <c r="D158" s="116" t="s">
        <v>129</v>
      </c>
      <c r="E158" s="117" t="s">
        <v>104</v>
      </c>
      <c r="F158" s="116"/>
      <c r="G158" s="116" t="s">
        <v>453</v>
      </c>
      <c r="H158" s="116" t="s">
        <v>454</v>
      </c>
      <c r="I158" s="116" t="s">
        <v>455</v>
      </c>
      <c r="J158" s="205">
        <v>21</v>
      </c>
      <c r="K158" s="116" t="s">
        <v>480</v>
      </c>
      <c r="L158" s="116" t="s">
        <v>658</v>
      </c>
      <c r="M158" s="116" t="s">
        <v>412</v>
      </c>
      <c r="N158" s="116" t="s">
        <v>659</v>
      </c>
    </row>
    <row r="159" spans="1:14" ht="18.75" customHeight="1" x14ac:dyDescent="0.25">
      <c r="A159" s="115">
        <v>25</v>
      </c>
      <c r="B159" s="116" t="s">
        <v>142</v>
      </c>
      <c r="C159" s="116" t="s">
        <v>143</v>
      </c>
      <c r="D159" s="116" t="s">
        <v>129</v>
      </c>
      <c r="E159" s="117" t="s">
        <v>104</v>
      </c>
      <c r="F159" s="116"/>
      <c r="G159" s="116" t="s">
        <v>457</v>
      </c>
      <c r="H159" s="116" t="s">
        <v>458</v>
      </c>
      <c r="I159" s="116" t="s">
        <v>459</v>
      </c>
      <c r="J159" s="205">
        <v>46</v>
      </c>
      <c r="K159" s="116" t="s">
        <v>36</v>
      </c>
      <c r="L159" s="116" t="s">
        <v>671</v>
      </c>
      <c r="M159" s="116" t="s">
        <v>104</v>
      </c>
      <c r="N159" s="116" t="s">
        <v>657</v>
      </c>
    </row>
    <row r="160" spans="1:14" ht="18.75" customHeight="1" x14ac:dyDescent="0.25">
      <c r="A160" s="115"/>
      <c r="B160" s="116"/>
      <c r="C160" s="116"/>
      <c r="D160" s="116"/>
      <c r="E160" s="117"/>
      <c r="F160" s="116"/>
      <c r="G160" s="116"/>
      <c r="H160" s="116"/>
      <c r="I160" s="116"/>
      <c r="J160" s="205"/>
      <c r="K160" s="116"/>
      <c r="L160" s="116"/>
      <c r="M160" s="116"/>
      <c r="N160" s="116"/>
    </row>
    <row r="161" spans="1:14" ht="18.75" customHeight="1" x14ac:dyDescent="0.25">
      <c r="A161" s="115"/>
      <c r="B161" s="116"/>
      <c r="C161" s="116"/>
      <c r="D161" s="116"/>
      <c r="E161" s="117"/>
      <c r="F161" s="116"/>
      <c r="G161" s="116"/>
      <c r="H161" s="116"/>
      <c r="I161" s="116"/>
      <c r="J161" s="205"/>
      <c r="K161" s="116"/>
      <c r="L161" s="116"/>
      <c r="M161" s="116"/>
      <c r="N161" s="116"/>
    </row>
    <row r="162" spans="1:14" ht="18.75" customHeight="1" x14ac:dyDescent="0.25">
      <c r="A162" s="115"/>
      <c r="B162" s="116"/>
      <c r="C162" s="116"/>
      <c r="D162" s="116"/>
      <c r="E162" s="117"/>
      <c r="F162" s="116"/>
      <c r="G162" s="116"/>
      <c r="H162" s="116"/>
      <c r="I162" s="116"/>
      <c r="J162" s="205"/>
      <c r="K162" s="116"/>
      <c r="L162" s="116"/>
      <c r="M162" s="116"/>
      <c r="N162" s="116"/>
    </row>
    <row r="163" spans="1:14" ht="18.75" customHeight="1" x14ac:dyDescent="0.25">
      <c r="A163" s="115"/>
      <c r="B163" s="116"/>
      <c r="C163" s="116"/>
      <c r="D163" s="116"/>
      <c r="E163" s="117"/>
      <c r="F163" s="116"/>
      <c r="G163" s="116"/>
      <c r="H163" s="116"/>
      <c r="I163" s="116"/>
      <c r="J163" s="205"/>
      <c r="K163" s="116"/>
      <c r="L163" s="116"/>
      <c r="M163" s="116"/>
      <c r="N163" s="116"/>
    </row>
    <row r="164" spans="1:14" ht="18.75" customHeight="1" x14ac:dyDescent="0.25">
      <c r="A164" s="115"/>
      <c r="B164" s="116"/>
      <c r="C164" s="116"/>
      <c r="D164" s="116"/>
      <c r="E164" s="117"/>
      <c r="F164" s="116"/>
      <c r="G164" s="116"/>
      <c r="H164" s="116"/>
      <c r="I164" s="116"/>
      <c r="J164" s="205"/>
      <c r="K164" s="116"/>
      <c r="L164" s="116"/>
      <c r="M164" s="116"/>
      <c r="N164" s="116"/>
    </row>
    <row r="165" spans="1:14" ht="4.5" customHeight="1" x14ac:dyDescent="0.25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</row>
    <row r="167" spans="1:14" ht="26.1" customHeight="1" x14ac:dyDescent="0.25">
      <c r="A167" s="265" t="s">
        <v>711</v>
      </c>
      <c r="B167" s="237"/>
      <c r="C167" s="237"/>
      <c r="D167" s="237"/>
      <c r="E167" s="237"/>
      <c r="F167" s="237"/>
      <c r="G167" s="237"/>
      <c r="H167" s="237"/>
      <c r="I167" s="237"/>
      <c r="J167" s="237"/>
      <c r="K167" s="237"/>
      <c r="L167" s="237"/>
      <c r="M167" s="237"/>
      <c r="N167" s="237"/>
    </row>
    <row r="168" spans="1:14" ht="32.1" customHeight="1" x14ac:dyDescent="0.25">
      <c r="A168" s="231" t="s">
        <v>17</v>
      </c>
      <c r="B168" s="231" t="s">
        <v>18</v>
      </c>
      <c r="C168" s="231" t="s">
        <v>692</v>
      </c>
      <c r="D168" s="231" t="s">
        <v>693</v>
      </c>
      <c r="E168" s="231" t="s">
        <v>694</v>
      </c>
      <c r="F168" s="231" t="s">
        <v>695</v>
      </c>
      <c r="G168" s="231" t="s">
        <v>623</v>
      </c>
      <c r="H168" s="231" t="s">
        <v>696</v>
      </c>
      <c r="I168" s="231" t="s">
        <v>697</v>
      </c>
      <c r="J168" s="231" t="s">
        <v>698</v>
      </c>
      <c r="K168" s="231" t="s">
        <v>699</v>
      </c>
      <c r="L168" s="231" t="s">
        <v>700</v>
      </c>
    </row>
    <row r="169" spans="1:14" ht="30" customHeight="1" x14ac:dyDescent="0.25">
      <c r="A169" s="206">
        <v>1</v>
      </c>
      <c r="B169" s="207" t="s">
        <v>130</v>
      </c>
      <c r="C169" s="207" t="s">
        <v>132</v>
      </c>
      <c r="D169" s="206">
        <v>25</v>
      </c>
      <c r="E169" s="206">
        <f>COUNTIF(K5:K169,"PASS")</f>
        <v>76</v>
      </c>
      <c r="F169" s="206">
        <f>COUNTIF(K5:K169,"FAIL")</f>
        <v>69</v>
      </c>
      <c r="G169" s="206">
        <f>COUNTIF(K5:K169,"PARTIAL")</f>
        <v>0</v>
      </c>
      <c r="H169" s="206">
        <f t="shared" ref="H169:H174" si="0">IF(D169&gt;0,ROUND(E169/D169*100,1),0)</f>
        <v>304</v>
      </c>
      <c r="I169" s="207" t="s">
        <v>353</v>
      </c>
      <c r="J169" s="207" t="s">
        <v>363</v>
      </c>
      <c r="K169" s="206" t="s">
        <v>121</v>
      </c>
      <c r="L169" s="207" t="s">
        <v>712</v>
      </c>
    </row>
    <row r="170" spans="1:14" ht="30" customHeight="1" x14ac:dyDescent="0.25">
      <c r="A170" s="202">
        <v>2</v>
      </c>
      <c r="B170" s="203" t="s">
        <v>134</v>
      </c>
      <c r="C170" s="203" t="s">
        <v>135</v>
      </c>
      <c r="D170" s="202">
        <v>25</v>
      </c>
      <c r="E170" s="202">
        <f>COUNTIF(K32:K170,"PASS")</f>
        <v>63</v>
      </c>
      <c r="F170" s="202">
        <f>COUNTIF(K32:K170,"FAIL")</f>
        <v>57</v>
      </c>
      <c r="G170" s="202">
        <f>COUNTIF(K32:K170,"PARTIAL")</f>
        <v>0</v>
      </c>
      <c r="H170" s="202">
        <f t="shared" si="0"/>
        <v>252</v>
      </c>
      <c r="I170" s="203" t="s">
        <v>374</v>
      </c>
      <c r="J170" s="203" t="s">
        <v>363</v>
      </c>
      <c r="K170" s="202" t="s">
        <v>121</v>
      </c>
      <c r="L170" s="203" t="s">
        <v>712</v>
      </c>
    </row>
    <row r="171" spans="1:14" ht="30" customHeight="1" x14ac:dyDescent="0.25">
      <c r="A171" s="206">
        <v>3</v>
      </c>
      <c r="B171" s="207" t="s">
        <v>136</v>
      </c>
      <c r="C171" s="207" t="s">
        <v>137</v>
      </c>
      <c r="D171" s="206">
        <v>25</v>
      </c>
      <c r="E171" s="206">
        <f>COUNTIF(K57:K171,"PASS")</f>
        <v>51</v>
      </c>
      <c r="F171" s="206">
        <f>COUNTIF(K57:K171,"FAIL")</f>
        <v>45</v>
      </c>
      <c r="G171" s="206">
        <f>COUNTIF(K57:K171,"PARTIAL")</f>
        <v>0</v>
      </c>
      <c r="H171" s="206">
        <f t="shared" si="0"/>
        <v>204</v>
      </c>
      <c r="I171" s="207" t="s">
        <v>353</v>
      </c>
      <c r="J171" s="207" t="s">
        <v>369</v>
      </c>
      <c r="K171" s="206" t="s">
        <v>121</v>
      </c>
      <c r="L171" s="207" t="s">
        <v>702</v>
      </c>
    </row>
    <row r="172" spans="1:14" ht="30" customHeight="1" x14ac:dyDescent="0.25">
      <c r="A172" s="202">
        <v>4</v>
      </c>
      <c r="B172" s="203" t="s">
        <v>138</v>
      </c>
      <c r="C172" s="203" t="s">
        <v>139</v>
      </c>
      <c r="D172" s="202">
        <v>25</v>
      </c>
      <c r="E172" s="202">
        <f>COUNTIF(K83:K172,"PASS")</f>
        <v>38</v>
      </c>
      <c r="F172" s="202">
        <f>COUNTIF(K83:K172,"FAIL")</f>
        <v>34</v>
      </c>
      <c r="G172" s="202">
        <f>COUNTIF(K83:K172,"PARTIAL")</f>
        <v>0</v>
      </c>
      <c r="H172" s="202">
        <f t="shared" si="0"/>
        <v>152</v>
      </c>
      <c r="I172" s="203" t="s">
        <v>353</v>
      </c>
      <c r="J172" s="203" t="s">
        <v>363</v>
      </c>
      <c r="K172" s="202" t="s">
        <v>121</v>
      </c>
      <c r="L172" s="203" t="s">
        <v>702</v>
      </c>
    </row>
    <row r="173" spans="1:14" ht="30" customHeight="1" x14ac:dyDescent="0.25">
      <c r="A173" s="206">
        <v>5</v>
      </c>
      <c r="B173" s="207" t="s">
        <v>140</v>
      </c>
      <c r="C173" s="207" t="s">
        <v>141</v>
      </c>
      <c r="D173" s="206">
        <v>25</v>
      </c>
      <c r="E173" s="206">
        <f>COUNTIF(K109:K173,"PASS")</f>
        <v>25</v>
      </c>
      <c r="F173" s="206">
        <f>COUNTIF(K109:K173,"FAIL")</f>
        <v>23</v>
      </c>
      <c r="G173" s="206">
        <f>COUNTIF(K109:K173,"PARTIAL")</f>
        <v>0</v>
      </c>
      <c r="H173" s="206">
        <f t="shared" si="0"/>
        <v>100</v>
      </c>
      <c r="I173" s="207" t="s">
        <v>353</v>
      </c>
      <c r="J173" s="207" t="s">
        <v>363</v>
      </c>
      <c r="K173" s="206" t="s">
        <v>121</v>
      </c>
      <c r="L173" s="207" t="s">
        <v>712</v>
      </c>
    </row>
    <row r="174" spans="1:14" ht="30" customHeight="1" x14ac:dyDescent="0.25">
      <c r="A174" s="202">
        <v>6</v>
      </c>
      <c r="B174" s="203" t="s">
        <v>142</v>
      </c>
      <c r="C174" s="203" t="s">
        <v>143</v>
      </c>
      <c r="D174" s="202">
        <v>25</v>
      </c>
      <c r="E174" s="202">
        <f>COUNTIF(K135:K174,"PASS")</f>
        <v>13</v>
      </c>
      <c r="F174" s="202">
        <f>COUNTIF(K135:K174,"FAIL")</f>
        <v>11</v>
      </c>
      <c r="G174" s="202">
        <f>COUNTIF(K135:K174,"PARTIAL")</f>
        <v>0</v>
      </c>
      <c r="H174" s="202">
        <f t="shared" si="0"/>
        <v>52</v>
      </c>
      <c r="I174" s="203" t="s">
        <v>353</v>
      </c>
      <c r="J174" s="203" t="s">
        <v>363</v>
      </c>
      <c r="K174" s="202" t="s">
        <v>121</v>
      </c>
      <c r="L174" s="203" t="s">
        <v>712</v>
      </c>
    </row>
    <row r="175" spans="1:14" ht="45" x14ac:dyDescent="0.25">
      <c r="H175" s="292" t="s">
        <v>894</v>
      </c>
    </row>
  </sheetData>
  <mergeCells count="9">
    <mergeCell ref="A1:N1"/>
    <mergeCell ref="A31:N31"/>
    <mergeCell ref="A167:N167"/>
    <mergeCell ref="A4:N4"/>
    <mergeCell ref="A139:N139"/>
    <mergeCell ref="A2:N2"/>
    <mergeCell ref="A112:N112"/>
    <mergeCell ref="A85:N85"/>
    <mergeCell ref="A58:N58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N197"/>
  <sheetViews>
    <sheetView zoomScaleNormal="100" workbookViewId="0">
      <pane xSplit="1" ySplit="3" topLeftCell="B183" activePane="bottomRight" state="frozen"/>
      <selection pane="topRight" activeCell="B1" sqref="B1"/>
      <selection pane="bottomLeft" activeCell="A4" sqref="A4"/>
      <selection pane="bottomRight" activeCell="H197" sqref="H197"/>
    </sheetView>
  </sheetViews>
  <sheetFormatPr defaultColWidth="8.7109375" defaultRowHeight="15" x14ac:dyDescent="0.25"/>
  <cols>
    <col min="1" max="1" width="4" customWidth="1"/>
    <col min="2" max="2" width="28" customWidth="1"/>
    <col min="3" max="3" width="24" customWidth="1"/>
    <col min="4" max="4" width="18" customWidth="1"/>
    <col min="5" max="5" width="10" customWidth="1"/>
    <col min="6" max="6" width="11" customWidth="1"/>
    <col min="7" max="7" width="22" customWidth="1"/>
    <col min="8" max="8" width="20" customWidth="1"/>
    <col min="9" max="10" width="22" customWidth="1"/>
    <col min="11" max="11" width="14" customWidth="1"/>
    <col min="12" max="12" width="32" customWidth="1"/>
    <col min="13" max="13" width="14" customWidth="1"/>
    <col min="14" max="14" width="28" customWidth="1"/>
  </cols>
  <sheetData>
    <row r="1" spans="1:14" ht="37.5" customHeight="1" x14ac:dyDescent="0.25">
      <c r="A1" s="269" t="s">
        <v>713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</row>
    <row r="2" spans="1:14" ht="15.75" customHeight="1" x14ac:dyDescent="0.25">
      <c r="A2" s="270" t="s">
        <v>648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</row>
    <row r="3" spans="1:14" ht="33.75" customHeight="1" x14ac:dyDescent="0.25">
      <c r="A3" s="118" t="s">
        <v>17</v>
      </c>
      <c r="B3" s="118" t="s">
        <v>18</v>
      </c>
      <c r="C3" s="118" t="s">
        <v>97</v>
      </c>
      <c r="D3" s="118" t="s">
        <v>649</v>
      </c>
      <c r="E3" s="118" t="s">
        <v>98</v>
      </c>
      <c r="F3" s="118" t="s">
        <v>650</v>
      </c>
      <c r="G3" s="118" t="s">
        <v>464</v>
      </c>
      <c r="H3" s="118" t="s">
        <v>465</v>
      </c>
      <c r="I3" s="118" t="s">
        <v>651</v>
      </c>
      <c r="J3" s="118" t="s">
        <v>24</v>
      </c>
      <c r="K3" s="118" t="s">
        <v>652</v>
      </c>
      <c r="L3" s="118" t="s">
        <v>26</v>
      </c>
      <c r="M3" s="118" t="s">
        <v>653</v>
      </c>
      <c r="N3" s="118" t="s">
        <v>654</v>
      </c>
    </row>
    <row r="4" spans="1:14" ht="19.5" customHeight="1" x14ac:dyDescent="0.25">
      <c r="A4" s="268" t="s">
        <v>714</v>
      </c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1"/>
    </row>
    <row r="5" spans="1:14" ht="18.75" customHeight="1" x14ac:dyDescent="0.25">
      <c r="A5" s="34">
        <v>1</v>
      </c>
      <c r="B5" s="35" t="s">
        <v>144</v>
      </c>
      <c r="C5" s="35" t="s">
        <v>146</v>
      </c>
      <c r="D5" s="35" t="s">
        <v>147</v>
      </c>
      <c r="E5" s="101" t="s">
        <v>104</v>
      </c>
      <c r="F5" s="35"/>
      <c r="G5" s="35" t="s">
        <v>353</v>
      </c>
      <c r="H5" s="35" t="s">
        <v>354</v>
      </c>
      <c r="I5" s="35" t="s">
        <v>360</v>
      </c>
      <c r="J5" s="198">
        <v>32</v>
      </c>
      <c r="K5" s="35" t="s">
        <v>36</v>
      </c>
      <c r="L5" s="35" t="s">
        <v>656</v>
      </c>
      <c r="M5" s="35" t="s">
        <v>104</v>
      </c>
      <c r="N5" s="35" t="s">
        <v>657</v>
      </c>
    </row>
    <row r="6" spans="1:14" ht="18.75" customHeight="1" x14ac:dyDescent="0.25">
      <c r="A6" s="119">
        <v>2</v>
      </c>
      <c r="B6" s="120" t="s">
        <v>144</v>
      </c>
      <c r="C6" s="120" t="s">
        <v>146</v>
      </c>
      <c r="D6" s="120" t="s">
        <v>147</v>
      </c>
      <c r="E6" s="121" t="s">
        <v>104</v>
      </c>
      <c r="F6" s="120"/>
      <c r="G6" s="120" t="s">
        <v>363</v>
      </c>
      <c r="H6" s="120" t="s">
        <v>364</v>
      </c>
      <c r="I6" s="120" t="s">
        <v>367</v>
      </c>
      <c r="J6" s="208">
        <v>87</v>
      </c>
      <c r="K6" s="120" t="s">
        <v>480</v>
      </c>
      <c r="L6" s="120" t="s">
        <v>658</v>
      </c>
      <c r="M6" s="120" t="s">
        <v>412</v>
      </c>
      <c r="N6" s="120" t="s">
        <v>659</v>
      </c>
    </row>
    <row r="7" spans="1:14" ht="18.75" customHeight="1" x14ac:dyDescent="0.25">
      <c r="A7" s="119">
        <v>3</v>
      </c>
      <c r="B7" s="120" t="s">
        <v>144</v>
      </c>
      <c r="C7" s="120" t="s">
        <v>146</v>
      </c>
      <c r="D7" s="120" t="s">
        <v>147</v>
      </c>
      <c r="E7" s="121" t="s">
        <v>104</v>
      </c>
      <c r="F7" s="120"/>
      <c r="G7" s="120" t="s">
        <v>369</v>
      </c>
      <c r="H7" s="120" t="s">
        <v>370</v>
      </c>
      <c r="I7" s="120" t="s">
        <v>372</v>
      </c>
      <c r="J7" s="208">
        <v>52</v>
      </c>
      <c r="K7" s="120" t="s">
        <v>480</v>
      </c>
      <c r="L7" s="120" t="s">
        <v>658</v>
      </c>
      <c r="M7" s="120" t="s">
        <v>412</v>
      </c>
      <c r="N7" s="120" t="s">
        <v>659</v>
      </c>
    </row>
    <row r="8" spans="1:14" ht="18.75" customHeight="1" x14ac:dyDescent="0.25">
      <c r="A8" s="119">
        <v>4</v>
      </c>
      <c r="B8" s="120" t="s">
        <v>144</v>
      </c>
      <c r="C8" s="120" t="s">
        <v>146</v>
      </c>
      <c r="D8" s="120" t="s">
        <v>147</v>
      </c>
      <c r="E8" s="121" t="s">
        <v>104</v>
      </c>
      <c r="F8" s="120"/>
      <c r="G8" s="120" t="s">
        <v>374</v>
      </c>
      <c r="H8" s="120" t="s">
        <v>375</v>
      </c>
      <c r="I8" s="120" t="s">
        <v>377</v>
      </c>
      <c r="J8" s="208">
        <v>43</v>
      </c>
      <c r="K8" s="120" t="s">
        <v>36</v>
      </c>
      <c r="L8" s="120" t="s">
        <v>660</v>
      </c>
      <c r="M8" s="120" t="s">
        <v>104</v>
      </c>
      <c r="N8" s="120" t="s">
        <v>657</v>
      </c>
    </row>
    <row r="9" spans="1:14" ht="18.75" customHeight="1" x14ac:dyDescent="0.25">
      <c r="A9" s="119">
        <v>5</v>
      </c>
      <c r="B9" s="120" t="s">
        <v>144</v>
      </c>
      <c r="C9" s="120" t="s">
        <v>146</v>
      </c>
      <c r="D9" s="120" t="s">
        <v>147</v>
      </c>
      <c r="E9" s="121" t="s">
        <v>104</v>
      </c>
      <c r="F9" s="120"/>
      <c r="G9" s="120" t="s">
        <v>379</v>
      </c>
      <c r="H9" s="120" t="s">
        <v>380</v>
      </c>
      <c r="I9" s="120" t="s">
        <v>381</v>
      </c>
      <c r="J9" s="208">
        <v>73</v>
      </c>
      <c r="K9" s="120" t="s">
        <v>480</v>
      </c>
      <c r="L9" s="120" t="s">
        <v>658</v>
      </c>
      <c r="M9" s="120" t="s">
        <v>412</v>
      </c>
      <c r="N9" s="120" t="s">
        <v>659</v>
      </c>
    </row>
    <row r="10" spans="1:14" ht="18.75" customHeight="1" x14ac:dyDescent="0.25">
      <c r="A10" s="119">
        <v>6</v>
      </c>
      <c r="B10" s="120" t="s">
        <v>144</v>
      </c>
      <c r="C10" s="120" t="s">
        <v>146</v>
      </c>
      <c r="D10" s="120" t="s">
        <v>147</v>
      </c>
      <c r="E10" s="121" t="s">
        <v>104</v>
      </c>
      <c r="F10" s="120"/>
      <c r="G10" s="120" t="s">
        <v>383</v>
      </c>
      <c r="H10" s="120" t="s">
        <v>384</v>
      </c>
      <c r="I10" s="120" t="s">
        <v>385</v>
      </c>
      <c r="J10" s="208">
        <v>45</v>
      </c>
      <c r="K10" s="120" t="s">
        <v>36</v>
      </c>
      <c r="L10" s="120" t="s">
        <v>661</v>
      </c>
      <c r="M10" s="120" t="s">
        <v>104</v>
      </c>
      <c r="N10" s="120" t="s">
        <v>657</v>
      </c>
    </row>
    <row r="11" spans="1:14" ht="18.75" customHeight="1" x14ac:dyDescent="0.25">
      <c r="A11" s="119">
        <v>7</v>
      </c>
      <c r="B11" s="120" t="s">
        <v>144</v>
      </c>
      <c r="C11" s="120" t="s">
        <v>146</v>
      </c>
      <c r="D11" s="120" t="s">
        <v>147</v>
      </c>
      <c r="E11" s="121" t="s">
        <v>104</v>
      </c>
      <c r="F11" s="120"/>
      <c r="G11" s="120" t="s">
        <v>387</v>
      </c>
      <c r="H11" s="120" t="s">
        <v>388</v>
      </c>
      <c r="I11" s="120" t="s">
        <v>389</v>
      </c>
      <c r="J11" s="208">
        <v>72</v>
      </c>
      <c r="K11" s="120" t="s">
        <v>480</v>
      </c>
      <c r="L11" s="120" t="s">
        <v>658</v>
      </c>
      <c r="M11" s="120" t="s">
        <v>412</v>
      </c>
      <c r="N11" s="120" t="s">
        <v>659</v>
      </c>
    </row>
    <row r="12" spans="1:14" ht="18.75" customHeight="1" x14ac:dyDescent="0.25">
      <c r="A12" s="119">
        <v>8</v>
      </c>
      <c r="B12" s="120" t="s">
        <v>144</v>
      </c>
      <c r="C12" s="120" t="s">
        <v>146</v>
      </c>
      <c r="D12" s="120" t="s">
        <v>147</v>
      </c>
      <c r="E12" s="121" t="s">
        <v>104</v>
      </c>
      <c r="F12" s="120"/>
      <c r="G12" s="120" t="s">
        <v>391</v>
      </c>
      <c r="H12" s="120" t="s">
        <v>392</v>
      </c>
      <c r="I12" s="120" t="s">
        <v>393</v>
      </c>
      <c r="J12" s="208">
        <v>36</v>
      </c>
      <c r="K12" s="120" t="s">
        <v>480</v>
      </c>
      <c r="L12" s="120" t="s">
        <v>658</v>
      </c>
      <c r="M12" s="120" t="s">
        <v>412</v>
      </c>
      <c r="N12" s="120" t="s">
        <v>659</v>
      </c>
    </row>
    <row r="13" spans="1:14" ht="18.75" customHeight="1" x14ac:dyDescent="0.25">
      <c r="A13" s="119">
        <v>9</v>
      </c>
      <c r="B13" s="120" t="s">
        <v>144</v>
      </c>
      <c r="C13" s="120" t="s">
        <v>146</v>
      </c>
      <c r="D13" s="120" t="s">
        <v>147</v>
      </c>
      <c r="E13" s="121" t="s">
        <v>104</v>
      </c>
      <c r="F13" s="120"/>
      <c r="G13" s="120" t="s">
        <v>395</v>
      </c>
      <c r="H13" s="120" t="s">
        <v>396</v>
      </c>
      <c r="I13" s="120" t="s">
        <v>360</v>
      </c>
      <c r="J13" s="208">
        <v>52</v>
      </c>
      <c r="K13" s="120" t="s">
        <v>36</v>
      </c>
      <c r="L13" s="120" t="s">
        <v>662</v>
      </c>
      <c r="M13" s="120" t="s">
        <v>104</v>
      </c>
      <c r="N13" s="120" t="s">
        <v>657</v>
      </c>
    </row>
    <row r="14" spans="1:14" ht="18.75" customHeight="1" x14ac:dyDescent="0.25">
      <c r="A14" s="119">
        <v>10</v>
      </c>
      <c r="B14" s="120" t="s">
        <v>144</v>
      </c>
      <c r="C14" s="120" t="s">
        <v>146</v>
      </c>
      <c r="D14" s="120" t="s">
        <v>147</v>
      </c>
      <c r="E14" s="121" t="s">
        <v>104</v>
      </c>
      <c r="F14" s="120"/>
      <c r="G14" s="120" t="s">
        <v>399</v>
      </c>
      <c r="H14" s="120" t="s">
        <v>400</v>
      </c>
      <c r="I14" s="120" t="s">
        <v>372</v>
      </c>
      <c r="J14" s="208">
        <v>79</v>
      </c>
      <c r="K14" s="120" t="s">
        <v>480</v>
      </c>
      <c r="L14" s="120" t="s">
        <v>658</v>
      </c>
      <c r="M14" s="120" t="s">
        <v>412</v>
      </c>
      <c r="N14" s="120" t="s">
        <v>659</v>
      </c>
    </row>
    <row r="15" spans="1:14" ht="18.75" customHeight="1" x14ac:dyDescent="0.25">
      <c r="A15" s="119">
        <v>11</v>
      </c>
      <c r="B15" s="120" t="s">
        <v>144</v>
      </c>
      <c r="C15" s="120" t="s">
        <v>146</v>
      </c>
      <c r="D15" s="120" t="s">
        <v>147</v>
      </c>
      <c r="E15" s="121" t="s">
        <v>104</v>
      </c>
      <c r="F15" s="120"/>
      <c r="G15" s="120" t="s">
        <v>402</v>
      </c>
      <c r="H15" s="120" t="s">
        <v>403</v>
      </c>
      <c r="I15" s="120" t="s">
        <v>404</v>
      </c>
      <c r="J15" s="208">
        <v>65</v>
      </c>
      <c r="K15" s="120" t="s">
        <v>36</v>
      </c>
      <c r="L15" s="120" t="s">
        <v>663</v>
      </c>
      <c r="M15" s="120" t="s">
        <v>104</v>
      </c>
      <c r="N15" s="120" t="s">
        <v>657</v>
      </c>
    </row>
    <row r="16" spans="1:14" ht="18.75" customHeight="1" x14ac:dyDescent="0.25">
      <c r="A16" s="119">
        <v>12</v>
      </c>
      <c r="B16" s="120" t="s">
        <v>144</v>
      </c>
      <c r="C16" s="120" t="s">
        <v>146</v>
      </c>
      <c r="D16" s="120" t="s">
        <v>147</v>
      </c>
      <c r="E16" s="121" t="s">
        <v>104</v>
      </c>
      <c r="F16" s="120"/>
      <c r="G16" s="120" t="s">
        <v>406</v>
      </c>
      <c r="H16" s="120" t="s">
        <v>407</v>
      </c>
      <c r="I16" s="120" t="s">
        <v>367</v>
      </c>
      <c r="J16" s="208">
        <v>86</v>
      </c>
      <c r="K16" s="120" t="s">
        <v>480</v>
      </c>
      <c r="L16" s="120" t="s">
        <v>658</v>
      </c>
      <c r="M16" s="120" t="s">
        <v>412</v>
      </c>
      <c r="N16" s="120" t="s">
        <v>659</v>
      </c>
    </row>
    <row r="17" spans="1:14" ht="18.75" customHeight="1" x14ac:dyDescent="0.25">
      <c r="A17" s="119">
        <v>13</v>
      </c>
      <c r="B17" s="120" t="s">
        <v>144</v>
      </c>
      <c r="C17" s="120" t="s">
        <v>146</v>
      </c>
      <c r="D17" s="120" t="s">
        <v>147</v>
      </c>
      <c r="E17" s="121" t="s">
        <v>104</v>
      </c>
      <c r="F17" s="120"/>
      <c r="G17" s="120" t="s">
        <v>409</v>
      </c>
      <c r="H17" s="120" t="s">
        <v>410</v>
      </c>
      <c r="I17" s="120" t="s">
        <v>360</v>
      </c>
      <c r="J17" s="208">
        <v>85</v>
      </c>
      <c r="K17" s="120" t="s">
        <v>36</v>
      </c>
      <c r="L17" s="120" t="s">
        <v>664</v>
      </c>
      <c r="M17" s="120" t="s">
        <v>104</v>
      </c>
      <c r="N17" s="120" t="s">
        <v>657</v>
      </c>
    </row>
    <row r="18" spans="1:14" ht="18.75" customHeight="1" x14ac:dyDescent="0.25">
      <c r="A18" s="119">
        <v>14</v>
      </c>
      <c r="B18" s="120" t="s">
        <v>144</v>
      </c>
      <c r="C18" s="120" t="s">
        <v>146</v>
      </c>
      <c r="D18" s="120" t="s">
        <v>147</v>
      </c>
      <c r="E18" s="121" t="s">
        <v>104</v>
      </c>
      <c r="F18" s="120"/>
      <c r="G18" s="120" t="s">
        <v>415</v>
      </c>
      <c r="H18" s="120" t="s">
        <v>416</v>
      </c>
      <c r="I18" s="120" t="s">
        <v>385</v>
      </c>
      <c r="J18" s="208">
        <v>56</v>
      </c>
      <c r="K18" s="120" t="s">
        <v>36</v>
      </c>
      <c r="L18" s="120" t="s">
        <v>665</v>
      </c>
      <c r="M18" s="120" t="s">
        <v>104</v>
      </c>
      <c r="N18" s="120" t="s">
        <v>657</v>
      </c>
    </row>
    <row r="19" spans="1:14" ht="18.75" customHeight="1" x14ac:dyDescent="0.25">
      <c r="A19" s="119">
        <v>15</v>
      </c>
      <c r="B19" s="120" t="s">
        <v>144</v>
      </c>
      <c r="C19" s="120" t="s">
        <v>146</v>
      </c>
      <c r="D19" s="120" t="s">
        <v>147</v>
      </c>
      <c r="E19" s="121" t="s">
        <v>104</v>
      </c>
      <c r="F19" s="120"/>
      <c r="G19" s="120" t="s">
        <v>418</v>
      </c>
      <c r="H19" s="120" t="s">
        <v>419</v>
      </c>
      <c r="I19" s="120" t="s">
        <v>421</v>
      </c>
      <c r="J19" s="208">
        <v>69</v>
      </c>
      <c r="K19" s="120" t="s">
        <v>480</v>
      </c>
      <c r="L19" s="120" t="s">
        <v>658</v>
      </c>
      <c r="M19" s="120" t="s">
        <v>412</v>
      </c>
      <c r="N19" s="120" t="s">
        <v>659</v>
      </c>
    </row>
    <row r="20" spans="1:14" ht="18.75" customHeight="1" x14ac:dyDescent="0.25">
      <c r="A20" s="119">
        <v>16</v>
      </c>
      <c r="B20" s="120" t="s">
        <v>144</v>
      </c>
      <c r="C20" s="120" t="s">
        <v>146</v>
      </c>
      <c r="D20" s="120" t="s">
        <v>147</v>
      </c>
      <c r="E20" s="121" t="s">
        <v>104</v>
      </c>
      <c r="F20" s="120"/>
      <c r="G20" s="120" t="s">
        <v>423</v>
      </c>
      <c r="H20" s="120" t="s">
        <v>424</v>
      </c>
      <c r="I20" s="120" t="s">
        <v>425</v>
      </c>
      <c r="J20" s="208">
        <v>77</v>
      </c>
      <c r="K20" s="120" t="s">
        <v>36</v>
      </c>
      <c r="L20" s="120" t="s">
        <v>666</v>
      </c>
      <c r="M20" s="120" t="s">
        <v>104</v>
      </c>
      <c r="N20" s="120" t="s">
        <v>657</v>
      </c>
    </row>
    <row r="21" spans="1:14" ht="18.75" customHeight="1" x14ac:dyDescent="0.25">
      <c r="A21" s="119">
        <v>17</v>
      </c>
      <c r="B21" s="120" t="s">
        <v>144</v>
      </c>
      <c r="C21" s="120" t="s">
        <v>146</v>
      </c>
      <c r="D21" s="120" t="s">
        <v>147</v>
      </c>
      <c r="E21" s="121" t="s">
        <v>104</v>
      </c>
      <c r="F21" s="120"/>
      <c r="G21" s="120" t="s">
        <v>427</v>
      </c>
      <c r="H21" s="120" t="s">
        <v>428</v>
      </c>
      <c r="I21" s="120" t="s">
        <v>429</v>
      </c>
      <c r="J21" s="208">
        <v>39</v>
      </c>
      <c r="K21" s="120" t="s">
        <v>480</v>
      </c>
      <c r="L21" s="120" t="s">
        <v>658</v>
      </c>
      <c r="M21" s="120" t="s">
        <v>412</v>
      </c>
      <c r="N21" s="120" t="s">
        <v>659</v>
      </c>
    </row>
    <row r="22" spans="1:14" ht="18.75" customHeight="1" x14ac:dyDescent="0.25">
      <c r="A22" s="119">
        <v>18</v>
      </c>
      <c r="B22" s="120" t="s">
        <v>144</v>
      </c>
      <c r="C22" s="120" t="s">
        <v>146</v>
      </c>
      <c r="D22" s="120" t="s">
        <v>147</v>
      </c>
      <c r="E22" s="121" t="s">
        <v>104</v>
      </c>
      <c r="F22" s="120"/>
      <c r="G22" s="120" t="s">
        <v>431</v>
      </c>
      <c r="H22" s="120" t="s">
        <v>432</v>
      </c>
      <c r="I22" s="120" t="s">
        <v>360</v>
      </c>
      <c r="J22" s="208">
        <v>89</v>
      </c>
      <c r="K22" s="120" t="s">
        <v>36</v>
      </c>
      <c r="L22" s="120" t="s">
        <v>667</v>
      </c>
      <c r="M22" s="120" t="s">
        <v>104</v>
      </c>
      <c r="N22" s="120" t="s">
        <v>657</v>
      </c>
    </row>
    <row r="23" spans="1:14" ht="18.75" customHeight="1" x14ac:dyDescent="0.25">
      <c r="A23" s="119">
        <v>19</v>
      </c>
      <c r="B23" s="120" t="s">
        <v>144</v>
      </c>
      <c r="C23" s="120" t="s">
        <v>146</v>
      </c>
      <c r="D23" s="120" t="s">
        <v>147</v>
      </c>
      <c r="E23" s="121" t="s">
        <v>104</v>
      </c>
      <c r="F23" s="120"/>
      <c r="G23" s="120" t="s">
        <v>434</v>
      </c>
      <c r="H23" s="120" t="s">
        <v>435</v>
      </c>
      <c r="I23" s="120" t="s">
        <v>436</v>
      </c>
      <c r="J23" s="208">
        <v>89</v>
      </c>
      <c r="K23" s="120" t="s">
        <v>480</v>
      </c>
      <c r="L23" s="120" t="s">
        <v>658</v>
      </c>
      <c r="M23" s="120" t="s">
        <v>412</v>
      </c>
      <c r="N23" s="120" t="s">
        <v>659</v>
      </c>
    </row>
    <row r="24" spans="1:14" ht="18.75" customHeight="1" x14ac:dyDescent="0.25">
      <c r="A24" s="119">
        <v>20</v>
      </c>
      <c r="B24" s="120" t="s">
        <v>144</v>
      </c>
      <c r="C24" s="120" t="s">
        <v>146</v>
      </c>
      <c r="D24" s="120" t="s">
        <v>147</v>
      </c>
      <c r="E24" s="121" t="s">
        <v>104</v>
      </c>
      <c r="F24" s="120"/>
      <c r="G24" s="120" t="s">
        <v>438</v>
      </c>
      <c r="H24" s="120" t="s">
        <v>439</v>
      </c>
      <c r="I24" s="120" t="s">
        <v>440</v>
      </c>
      <c r="J24" s="208">
        <v>45</v>
      </c>
      <c r="K24" s="120" t="s">
        <v>36</v>
      </c>
      <c r="L24" s="120" t="s">
        <v>668</v>
      </c>
      <c r="M24" s="120" t="s">
        <v>104</v>
      </c>
      <c r="N24" s="120" t="s">
        <v>657</v>
      </c>
    </row>
    <row r="25" spans="1:14" ht="18.75" customHeight="1" x14ac:dyDescent="0.25">
      <c r="A25" s="119">
        <v>21</v>
      </c>
      <c r="B25" s="120" t="s">
        <v>144</v>
      </c>
      <c r="C25" s="120" t="s">
        <v>146</v>
      </c>
      <c r="D25" s="120" t="s">
        <v>147</v>
      </c>
      <c r="E25" s="121" t="s">
        <v>104</v>
      </c>
      <c r="F25" s="120"/>
      <c r="G25" s="120" t="s">
        <v>442</v>
      </c>
      <c r="H25" s="120" t="s">
        <v>443</v>
      </c>
      <c r="I25" s="120" t="s">
        <v>381</v>
      </c>
      <c r="J25" s="208">
        <v>85</v>
      </c>
      <c r="K25" s="120" t="s">
        <v>480</v>
      </c>
      <c r="L25" s="120" t="s">
        <v>658</v>
      </c>
      <c r="M25" s="120" t="s">
        <v>412</v>
      </c>
      <c r="N25" s="120" t="s">
        <v>659</v>
      </c>
    </row>
    <row r="26" spans="1:14" ht="18.75" customHeight="1" x14ac:dyDescent="0.25">
      <c r="A26" s="119">
        <v>22</v>
      </c>
      <c r="B26" s="120" t="s">
        <v>144</v>
      </c>
      <c r="C26" s="120" t="s">
        <v>146</v>
      </c>
      <c r="D26" s="120" t="s">
        <v>147</v>
      </c>
      <c r="E26" s="121" t="s">
        <v>104</v>
      </c>
      <c r="F26" s="120"/>
      <c r="G26" s="120" t="s">
        <v>445</v>
      </c>
      <c r="H26" s="120" t="s">
        <v>446</v>
      </c>
      <c r="I26" s="120" t="s">
        <v>372</v>
      </c>
      <c r="J26" s="208">
        <v>40</v>
      </c>
      <c r="K26" s="120" t="s">
        <v>36</v>
      </c>
      <c r="L26" s="120" t="s">
        <v>669</v>
      </c>
      <c r="M26" s="120" t="s">
        <v>104</v>
      </c>
      <c r="N26" s="120" t="s">
        <v>657</v>
      </c>
    </row>
    <row r="27" spans="1:14" ht="18.75" customHeight="1" x14ac:dyDescent="0.25">
      <c r="A27" s="119">
        <v>23</v>
      </c>
      <c r="B27" s="120" t="s">
        <v>144</v>
      </c>
      <c r="C27" s="120" t="s">
        <v>146</v>
      </c>
      <c r="D27" s="120" t="s">
        <v>147</v>
      </c>
      <c r="E27" s="121" t="s">
        <v>104</v>
      </c>
      <c r="F27" s="120"/>
      <c r="G27" s="120" t="s">
        <v>449</v>
      </c>
      <c r="H27" s="120" t="s">
        <v>450</v>
      </c>
      <c r="I27" s="120" t="s">
        <v>451</v>
      </c>
      <c r="J27" s="208">
        <v>81</v>
      </c>
      <c r="K27" s="120" t="s">
        <v>36</v>
      </c>
      <c r="L27" s="120" t="s">
        <v>670</v>
      </c>
      <c r="M27" s="120" t="s">
        <v>104</v>
      </c>
      <c r="N27" s="120" t="s">
        <v>657</v>
      </c>
    </row>
    <row r="28" spans="1:14" ht="18.75" customHeight="1" x14ac:dyDescent="0.25">
      <c r="A28" s="119">
        <v>24</v>
      </c>
      <c r="B28" s="120" t="s">
        <v>144</v>
      </c>
      <c r="C28" s="120" t="s">
        <v>146</v>
      </c>
      <c r="D28" s="120" t="s">
        <v>147</v>
      </c>
      <c r="E28" s="121" t="s">
        <v>104</v>
      </c>
      <c r="F28" s="120"/>
      <c r="G28" s="120" t="s">
        <v>453</v>
      </c>
      <c r="H28" s="120" t="s">
        <v>454</v>
      </c>
      <c r="I28" s="120" t="s">
        <v>455</v>
      </c>
      <c r="J28" s="208">
        <v>81</v>
      </c>
      <c r="K28" s="120" t="s">
        <v>480</v>
      </c>
      <c r="L28" s="120" t="s">
        <v>658</v>
      </c>
      <c r="M28" s="120" t="s">
        <v>412</v>
      </c>
      <c r="N28" s="120" t="s">
        <v>659</v>
      </c>
    </row>
    <row r="29" spans="1:14" ht="18.75" customHeight="1" x14ac:dyDescent="0.25">
      <c r="A29" s="119">
        <v>25</v>
      </c>
      <c r="B29" s="120" t="s">
        <v>144</v>
      </c>
      <c r="C29" s="120" t="s">
        <v>146</v>
      </c>
      <c r="D29" s="120" t="s">
        <v>147</v>
      </c>
      <c r="E29" s="121" t="s">
        <v>104</v>
      </c>
      <c r="F29" s="120"/>
      <c r="G29" s="120" t="s">
        <v>457</v>
      </c>
      <c r="H29" s="120" t="s">
        <v>458</v>
      </c>
      <c r="I29" s="120" t="s">
        <v>459</v>
      </c>
      <c r="J29" s="208">
        <v>41</v>
      </c>
      <c r="K29" s="120" t="s">
        <v>36</v>
      </c>
      <c r="L29" s="120" t="s">
        <v>671</v>
      </c>
      <c r="M29" s="120" t="s">
        <v>104</v>
      </c>
      <c r="N29" s="120" t="s">
        <v>657</v>
      </c>
    </row>
    <row r="30" spans="1:14" ht="4.5" customHeight="1" x14ac:dyDescent="0.25">
      <c r="A30" s="105" t="s">
        <v>715</v>
      </c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</row>
    <row r="31" spans="1:14" ht="19.5" customHeight="1" x14ac:dyDescent="0.25">
      <c r="A31" s="268" t="s">
        <v>715</v>
      </c>
      <c r="B31" s="260"/>
      <c r="C31" s="260"/>
      <c r="D31" s="260"/>
      <c r="E31" s="260"/>
      <c r="F31" s="260"/>
      <c r="G31" s="260"/>
      <c r="H31" s="260"/>
      <c r="I31" s="260"/>
      <c r="J31" s="260"/>
      <c r="K31" s="260"/>
      <c r="L31" s="260"/>
      <c r="M31" s="260"/>
      <c r="N31" s="261"/>
    </row>
    <row r="32" spans="1:14" ht="18.75" customHeight="1" x14ac:dyDescent="0.25">
      <c r="A32" s="34">
        <v>2</v>
      </c>
      <c r="B32" s="35" t="s">
        <v>149</v>
      </c>
      <c r="C32" s="35" t="s">
        <v>150</v>
      </c>
      <c r="D32" s="35" t="s">
        <v>151</v>
      </c>
      <c r="E32" s="101" t="s">
        <v>104</v>
      </c>
      <c r="F32" s="35"/>
      <c r="G32" s="35" t="s">
        <v>363</v>
      </c>
      <c r="H32" s="35" t="s">
        <v>364</v>
      </c>
      <c r="I32" s="35" t="s">
        <v>367</v>
      </c>
      <c r="J32" s="198">
        <v>46</v>
      </c>
      <c r="K32" s="35" t="s">
        <v>480</v>
      </c>
      <c r="L32" s="35" t="s">
        <v>658</v>
      </c>
      <c r="M32" s="35" t="s">
        <v>412</v>
      </c>
      <c r="N32" s="35" t="s">
        <v>659</v>
      </c>
    </row>
    <row r="33" spans="1:14" ht="18.75" customHeight="1" x14ac:dyDescent="0.25">
      <c r="A33" s="122">
        <v>3</v>
      </c>
      <c r="B33" s="123" t="s">
        <v>149</v>
      </c>
      <c r="C33" s="123" t="s">
        <v>150</v>
      </c>
      <c r="D33" s="123" t="s">
        <v>151</v>
      </c>
      <c r="E33" s="124" t="s">
        <v>104</v>
      </c>
      <c r="F33" s="123"/>
      <c r="G33" s="123" t="s">
        <v>369</v>
      </c>
      <c r="H33" s="123" t="s">
        <v>370</v>
      </c>
      <c r="I33" s="123" t="s">
        <v>372</v>
      </c>
      <c r="J33" s="209">
        <v>21</v>
      </c>
      <c r="K33" s="123" t="s">
        <v>480</v>
      </c>
      <c r="L33" s="123" t="s">
        <v>658</v>
      </c>
      <c r="M33" s="123" t="s">
        <v>412</v>
      </c>
      <c r="N33" s="123" t="s">
        <v>659</v>
      </c>
    </row>
    <row r="34" spans="1:14" ht="18.75" customHeight="1" x14ac:dyDescent="0.25">
      <c r="A34" s="122">
        <v>4</v>
      </c>
      <c r="B34" s="123" t="s">
        <v>149</v>
      </c>
      <c r="C34" s="123" t="s">
        <v>150</v>
      </c>
      <c r="D34" s="123" t="s">
        <v>151</v>
      </c>
      <c r="E34" s="124" t="s">
        <v>104</v>
      </c>
      <c r="F34" s="123"/>
      <c r="G34" s="123" t="s">
        <v>374</v>
      </c>
      <c r="H34" s="123" t="s">
        <v>375</v>
      </c>
      <c r="I34" s="123" t="s">
        <v>377</v>
      </c>
      <c r="J34" s="209">
        <v>31</v>
      </c>
      <c r="K34" s="123" t="s">
        <v>36</v>
      </c>
      <c r="L34" s="123" t="s">
        <v>660</v>
      </c>
      <c r="M34" s="123" t="s">
        <v>104</v>
      </c>
      <c r="N34" s="123" t="s">
        <v>657</v>
      </c>
    </row>
    <row r="35" spans="1:14" ht="18.75" customHeight="1" x14ac:dyDescent="0.25">
      <c r="A35" s="122">
        <v>5</v>
      </c>
      <c r="B35" s="123" t="s">
        <v>149</v>
      </c>
      <c r="C35" s="123" t="s">
        <v>150</v>
      </c>
      <c r="D35" s="123" t="s">
        <v>151</v>
      </c>
      <c r="E35" s="124" t="s">
        <v>104</v>
      </c>
      <c r="F35" s="123"/>
      <c r="G35" s="123" t="s">
        <v>379</v>
      </c>
      <c r="H35" s="123" t="s">
        <v>380</v>
      </c>
      <c r="I35" s="123" t="s">
        <v>381</v>
      </c>
      <c r="J35" s="209">
        <v>41</v>
      </c>
      <c r="K35" s="123" t="s">
        <v>480</v>
      </c>
      <c r="L35" s="123" t="s">
        <v>658</v>
      </c>
      <c r="M35" s="123" t="s">
        <v>412</v>
      </c>
      <c r="N35" s="123" t="s">
        <v>659</v>
      </c>
    </row>
    <row r="36" spans="1:14" ht="18.75" customHeight="1" x14ac:dyDescent="0.25">
      <c r="A36" s="122">
        <v>6</v>
      </c>
      <c r="B36" s="123" t="s">
        <v>149</v>
      </c>
      <c r="C36" s="123" t="s">
        <v>150</v>
      </c>
      <c r="D36" s="123" t="s">
        <v>151</v>
      </c>
      <c r="E36" s="124" t="s">
        <v>104</v>
      </c>
      <c r="F36" s="123"/>
      <c r="G36" s="123" t="s">
        <v>383</v>
      </c>
      <c r="H36" s="123" t="s">
        <v>384</v>
      </c>
      <c r="I36" s="123" t="s">
        <v>385</v>
      </c>
      <c r="J36" s="209">
        <v>46</v>
      </c>
      <c r="K36" s="123" t="s">
        <v>36</v>
      </c>
      <c r="L36" s="123" t="s">
        <v>661</v>
      </c>
      <c r="M36" s="123" t="s">
        <v>104</v>
      </c>
      <c r="N36" s="123" t="s">
        <v>657</v>
      </c>
    </row>
    <row r="37" spans="1:14" ht="18.75" customHeight="1" x14ac:dyDescent="0.25">
      <c r="A37" s="122">
        <v>7</v>
      </c>
      <c r="B37" s="123" t="s">
        <v>149</v>
      </c>
      <c r="C37" s="123" t="s">
        <v>150</v>
      </c>
      <c r="D37" s="123" t="s">
        <v>151</v>
      </c>
      <c r="E37" s="124" t="s">
        <v>104</v>
      </c>
      <c r="F37" s="123"/>
      <c r="G37" s="123" t="s">
        <v>387</v>
      </c>
      <c r="H37" s="123" t="s">
        <v>388</v>
      </c>
      <c r="I37" s="123" t="s">
        <v>389</v>
      </c>
      <c r="J37" s="209">
        <v>35</v>
      </c>
      <c r="K37" s="123" t="s">
        <v>480</v>
      </c>
      <c r="L37" s="123" t="s">
        <v>658</v>
      </c>
      <c r="M37" s="123" t="s">
        <v>412</v>
      </c>
      <c r="N37" s="123" t="s">
        <v>659</v>
      </c>
    </row>
    <row r="38" spans="1:14" ht="18.75" customHeight="1" x14ac:dyDescent="0.25">
      <c r="A38" s="122">
        <v>8</v>
      </c>
      <c r="B38" s="123" t="s">
        <v>149</v>
      </c>
      <c r="C38" s="123" t="s">
        <v>150</v>
      </c>
      <c r="D38" s="123" t="s">
        <v>151</v>
      </c>
      <c r="E38" s="124" t="s">
        <v>104</v>
      </c>
      <c r="F38" s="123"/>
      <c r="G38" s="123" t="s">
        <v>391</v>
      </c>
      <c r="H38" s="123" t="s">
        <v>392</v>
      </c>
      <c r="I38" s="123" t="s">
        <v>393</v>
      </c>
      <c r="J38" s="209">
        <v>37</v>
      </c>
      <c r="K38" s="123" t="s">
        <v>480</v>
      </c>
      <c r="L38" s="123" t="s">
        <v>658</v>
      </c>
      <c r="M38" s="123" t="s">
        <v>412</v>
      </c>
      <c r="N38" s="123" t="s">
        <v>659</v>
      </c>
    </row>
    <row r="39" spans="1:14" ht="18.75" customHeight="1" x14ac:dyDescent="0.25">
      <c r="A39" s="122">
        <v>9</v>
      </c>
      <c r="B39" s="123" t="s">
        <v>149</v>
      </c>
      <c r="C39" s="123" t="s">
        <v>150</v>
      </c>
      <c r="D39" s="123" t="s">
        <v>151</v>
      </c>
      <c r="E39" s="124" t="s">
        <v>104</v>
      </c>
      <c r="F39" s="123"/>
      <c r="G39" s="123" t="s">
        <v>395</v>
      </c>
      <c r="H39" s="123" t="s">
        <v>396</v>
      </c>
      <c r="I39" s="123" t="s">
        <v>360</v>
      </c>
      <c r="J39" s="209">
        <v>30</v>
      </c>
      <c r="K39" s="123" t="s">
        <v>36</v>
      </c>
      <c r="L39" s="123" t="s">
        <v>662</v>
      </c>
      <c r="M39" s="123" t="s">
        <v>104</v>
      </c>
      <c r="N39" s="123" t="s">
        <v>657</v>
      </c>
    </row>
    <row r="40" spans="1:14" ht="18.75" customHeight="1" x14ac:dyDescent="0.25">
      <c r="A40" s="122">
        <v>10</v>
      </c>
      <c r="B40" s="123" t="s">
        <v>149</v>
      </c>
      <c r="C40" s="123" t="s">
        <v>150</v>
      </c>
      <c r="D40" s="123" t="s">
        <v>151</v>
      </c>
      <c r="E40" s="124" t="s">
        <v>104</v>
      </c>
      <c r="F40" s="123"/>
      <c r="G40" s="123" t="s">
        <v>399</v>
      </c>
      <c r="H40" s="123" t="s">
        <v>400</v>
      </c>
      <c r="I40" s="123" t="s">
        <v>372</v>
      </c>
      <c r="J40" s="209">
        <v>26</v>
      </c>
      <c r="K40" s="123" t="s">
        <v>480</v>
      </c>
      <c r="L40" s="123" t="s">
        <v>658</v>
      </c>
      <c r="M40" s="123" t="s">
        <v>412</v>
      </c>
      <c r="N40" s="123" t="s">
        <v>659</v>
      </c>
    </row>
    <row r="41" spans="1:14" ht="18.75" customHeight="1" x14ac:dyDescent="0.25">
      <c r="A41" s="122">
        <v>11</v>
      </c>
      <c r="B41" s="123" t="s">
        <v>149</v>
      </c>
      <c r="C41" s="123" t="s">
        <v>150</v>
      </c>
      <c r="D41" s="123" t="s">
        <v>151</v>
      </c>
      <c r="E41" s="124" t="s">
        <v>104</v>
      </c>
      <c r="F41" s="123"/>
      <c r="G41" s="123" t="s">
        <v>402</v>
      </c>
      <c r="H41" s="123" t="s">
        <v>403</v>
      </c>
      <c r="I41" s="123" t="s">
        <v>404</v>
      </c>
      <c r="J41" s="209">
        <v>44</v>
      </c>
      <c r="K41" s="123" t="s">
        <v>36</v>
      </c>
      <c r="L41" s="123" t="s">
        <v>663</v>
      </c>
      <c r="M41" s="123" t="s">
        <v>104</v>
      </c>
      <c r="N41" s="123" t="s">
        <v>657</v>
      </c>
    </row>
    <row r="42" spans="1:14" ht="18.75" customHeight="1" x14ac:dyDescent="0.25">
      <c r="A42" s="122">
        <v>12</v>
      </c>
      <c r="B42" s="123" t="s">
        <v>149</v>
      </c>
      <c r="C42" s="123" t="s">
        <v>150</v>
      </c>
      <c r="D42" s="123" t="s">
        <v>151</v>
      </c>
      <c r="E42" s="124" t="s">
        <v>104</v>
      </c>
      <c r="F42" s="123"/>
      <c r="G42" s="123" t="s">
        <v>406</v>
      </c>
      <c r="H42" s="123" t="s">
        <v>407</v>
      </c>
      <c r="I42" s="123" t="s">
        <v>367</v>
      </c>
      <c r="J42" s="209">
        <v>22</v>
      </c>
      <c r="K42" s="123" t="s">
        <v>480</v>
      </c>
      <c r="L42" s="123" t="s">
        <v>658</v>
      </c>
      <c r="M42" s="123" t="s">
        <v>412</v>
      </c>
      <c r="N42" s="123" t="s">
        <v>659</v>
      </c>
    </row>
    <row r="43" spans="1:14" ht="18.75" customHeight="1" x14ac:dyDescent="0.25">
      <c r="A43" s="122">
        <v>13</v>
      </c>
      <c r="B43" s="123" t="s">
        <v>149</v>
      </c>
      <c r="C43" s="123" t="s">
        <v>150</v>
      </c>
      <c r="D43" s="123" t="s">
        <v>151</v>
      </c>
      <c r="E43" s="124" t="s">
        <v>104</v>
      </c>
      <c r="F43" s="123"/>
      <c r="G43" s="123" t="s">
        <v>409</v>
      </c>
      <c r="H43" s="123" t="s">
        <v>410</v>
      </c>
      <c r="I43" s="123" t="s">
        <v>360</v>
      </c>
      <c r="J43" s="209">
        <v>50</v>
      </c>
      <c r="K43" s="123" t="s">
        <v>36</v>
      </c>
      <c r="L43" s="123" t="s">
        <v>664</v>
      </c>
      <c r="M43" s="123" t="s">
        <v>104</v>
      </c>
      <c r="N43" s="123" t="s">
        <v>657</v>
      </c>
    </row>
    <row r="44" spans="1:14" ht="18.75" customHeight="1" x14ac:dyDescent="0.25">
      <c r="A44" s="122">
        <v>14</v>
      </c>
      <c r="B44" s="123" t="s">
        <v>149</v>
      </c>
      <c r="C44" s="123" t="s">
        <v>150</v>
      </c>
      <c r="D44" s="123" t="s">
        <v>151</v>
      </c>
      <c r="E44" s="124" t="s">
        <v>104</v>
      </c>
      <c r="F44" s="123"/>
      <c r="G44" s="123" t="s">
        <v>415</v>
      </c>
      <c r="H44" s="123" t="s">
        <v>416</v>
      </c>
      <c r="I44" s="123" t="s">
        <v>385</v>
      </c>
      <c r="J44" s="209">
        <v>34</v>
      </c>
      <c r="K44" s="123" t="s">
        <v>36</v>
      </c>
      <c r="L44" s="123" t="s">
        <v>665</v>
      </c>
      <c r="M44" s="123" t="s">
        <v>104</v>
      </c>
      <c r="N44" s="123" t="s">
        <v>657</v>
      </c>
    </row>
    <row r="45" spans="1:14" ht="18.75" customHeight="1" x14ac:dyDescent="0.25">
      <c r="A45" s="122">
        <v>15</v>
      </c>
      <c r="B45" s="123" t="s">
        <v>149</v>
      </c>
      <c r="C45" s="123" t="s">
        <v>150</v>
      </c>
      <c r="D45" s="123" t="s">
        <v>151</v>
      </c>
      <c r="E45" s="124" t="s">
        <v>104</v>
      </c>
      <c r="F45" s="123"/>
      <c r="G45" s="123" t="s">
        <v>418</v>
      </c>
      <c r="H45" s="123" t="s">
        <v>419</v>
      </c>
      <c r="I45" s="123" t="s">
        <v>421</v>
      </c>
      <c r="J45" s="209">
        <v>32</v>
      </c>
      <c r="K45" s="123" t="s">
        <v>480</v>
      </c>
      <c r="L45" s="123" t="s">
        <v>658</v>
      </c>
      <c r="M45" s="123" t="s">
        <v>412</v>
      </c>
      <c r="N45" s="123" t="s">
        <v>659</v>
      </c>
    </row>
    <row r="46" spans="1:14" ht="18.75" customHeight="1" x14ac:dyDescent="0.25">
      <c r="A46" s="122">
        <v>16</v>
      </c>
      <c r="B46" s="123" t="s">
        <v>149</v>
      </c>
      <c r="C46" s="123" t="s">
        <v>150</v>
      </c>
      <c r="D46" s="123" t="s">
        <v>151</v>
      </c>
      <c r="E46" s="124" t="s">
        <v>104</v>
      </c>
      <c r="F46" s="123"/>
      <c r="G46" s="123" t="s">
        <v>423</v>
      </c>
      <c r="H46" s="123" t="s">
        <v>424</v>
      </c>
      <c r="I46" s="123" t="s">
        <v>425</v>
      </c>
      <c r="J46" s="209">
        <v>49</v>
      </c>
      <c r="K46" s="123" t="s">
        <v>36</v>
      </c>
      <c r="L46" s="123" t="s">
        <v>666</v>
      </c>
      <c r="M46" s="123" t="s">
        <v>104</v>
      </c>
      <c r="N46" s="123" t="s">
        <v>657</v>
      </c>
    </row>
    <row r="47" spans="1:14" ht="18.75" customHeight="1" x14ac:dyDescent="0.25">
      <c r="A47" s="122">
        <v>17</v>
      </c>
      <c r="B47" s="123" t="s">
        <v>149</v>
      </c>
      <c r="C47" s="123" t="s">
        <v>150</v>
      </c>
      <c r="D47" s="123" t="s">
        <v>151</v>
      </c>
      <c r="E47" s="124" t="s">
        <v>104</v>
      </c>
      <c r="F47" s="123"/>
      <c r="G47" s="123" t="s">
        <v>427</v>
      </c>
      <c r="H47" s="123" t="s">
        <v>428</v>
      </c>
      <c r="I47" s="123" t="s">
        <v>429</v>
      </c>
      <c r="J47" s="209">
        <v>42</v>
      </c>
      <c r="K47" s="123" t="s">
        <v>480</v>
      </c>
      <c r="L47" s="123" t="s">
        <v>658</v>
      </c>
      <c r="M47" s="123" t="s">
        <v>412</v>
      </c>
      <c r="N47" s="123" t="s">
        <v>659</v>
      </c>
    </row>
    <row r="48" spans="1:14" ht="18.75" customHeight="1" x14ac:dyDescent="0.25">
      <c r="A48" s="122">
        <v>18</v>
      </c>
      <c r="B48" s="123" t="s">
        <v>149</v>
      </c>
      <c r="C48" s="123" t="s">
        <v>150</v>
      </c>
      <c r="D48" s="123" t="s">
        <v>151</v>
      </c>
      <c r="E48" s="124" t="s">
        <v>104</v>
      </c>
      <c r="F48" s="123"/>
      <c r="G48" s="123" t="s">
        <v>431</v>
      </c>
      <c r="H48" s="123" t="s">
        <v>432</v>
      </c>
      <c r="I48" s="123" t="s">
        <v>360</v>
      </c>
      <c r="J48" s="209">
        <v>39</v>
      </c>
      <c r="K48" s="123" t="s">
        <v>36</v>
      </c>
      <c r="L48" s="123" t="s">
        <v>667</v>
      </c>
      <c r="M48" s="123" t="s">
        <v>104</v>
      </c>
      <c r="N48" s="123" t="s">
        <v>657</v>
      </c>
    </row>
    <row r="49" spans="1:14" ht="18.75" customHeight="1" x14ac:dyDescent="0.25">
      <c r="A49" s="122">
        <v>19</v>
      </c>
      <c r="B49" s="123" t="s">
        <v>149</v>
      </c>
      <c r="C49" s="123" t="s">
        <v>150</v>
      </c>
      <c r="D49" s="123" t="s">
        <v>151</v>
      </c>
      <c r="E49" s="124" t="s">
        <v>104</v>
      </c>
      <c r="F49" s="123"/>
      <c r="G49" s="123" t="s">
        <v>434</v>
      </c>
      <c r="H49" s="123" t="s">
        <v>435</v>
      </c>
      <c r="I49" s="123" t="s">
        <v>436</v>
      </c>
      <c r="J49" s="209">
        <v>34</v>
      </c>
      <c r="K49" s="123" t="s">
        <v>480</v>
      </c>
      <c r="L49" s="123" t="s">
        <v>658</v>
      </c>
      <c r="M49" s="123" t="s">
        <v>412</v>
      </c>
      <c r="N49" s="123" t="s">
        <v>659</v>
      </c>
    </row>
    <row r="50" spans="1:14" ht="18.75" customHeight="1" x14ac:dyDescent="0.25">
      <c r="A50" s="122">
        <v>20</v>
      </c>
      <c r="B50" s="123" t="s">
        <v>149</v>
      </c>
      <c r="C50" s="123" t="s">
        <v>150</v>
      </c>
      <c r="D50" s="123" t="s">
        <v>151</v>
      </c>
      <c r="E50" s="124" t="s">
        <v>104</v>
      </c>
      <c r="F50" s="123"/>
      <c r="G50" s="123" t="s">
        <v>438</v>
      </c>
      <c r="H50" s="123" t="s">
        <v>439</v>
      </c>
      <c r="I50" s="123" t="s">
        <v>440</v>
      </c>
      <c r="J50" s="209">
        <v>34</v>
      </c>
      <c r="K50" s="123" t="s">
        <v>36</v>
      </c>
      <c r="L50" s="123" t="s">
        <v>668</v>
      </c>
      <c r="M50" s="123" t="s">
        <v>104</v>
      </c>
      <c r="N50" s="123" t="s">
        <v>657</v>
      </c>
    </row>
    <row r="51" spans="1:14" ht="18.75" customHeight="1" x14ac:dyDescent="0.25">
      <c r="A51" s="122">
        <v>21</v>
      </c>
      <c r="B51" s="123" t="s">
        <v>149</v>
      </c>
      <c r="C51" s="123" t="s">
        <v>150</v>
      </c>
      <c r="D51" s="123" t="s">
        <v>151</v>
      </c>
      <c r="E51" s="124" t="s">
        <v>104</v>
      </c>
      <c r="F51" s="123"/>
      <c r="G51" s="123" t="s">
        <v>442</v>
      </c>
      <c r="H51" s="123" t="s">
        <v>443</v>
      </c>
      <c r="I51" s="123" t="s">
        <v>381</v>
      </c>
      <c r="J51" s="209">
        <v>21</v>
      </c>
      <c r="K51" s="123" t="s">
        <v>480</v>
      </c>
      <c r="L51" s="123" t="s">
        <v>658</v>
      </c>
      <c r="M51" s="123" t="s">
        <v>412</v>
      </c>
      <c r="N51" s="123" t="s">
        <v>659</v>
      </c>
    </row>
    <row r="52" spans="1:14" ht="18.75" customHeight="1" x14ac:dyDescent="0.25">
      <c r="A52" s="122">
        <v>22</v>
      </c>
      <c r="B52" s="123" t="s">
        <v>149</v>
      </c>
      <c r="C52" s="123" t="s">
        <v>150</v>
      </c>
      <c r="D52" s="123" t="s">
        <v>151</v>
      </c>
      <c r="E52" s="124" t="s">
        <v>104</v>
      </c>
      <c r="F52" s="123"/>
      <c r="G52" s="123" t="s">
        <v>445</v>
      </c>
      <c r="H52" s="123" t="s">
        <v>446</v>
      </c>
      <c r="I52" s="123" t="s">
        <v>372</v>
      </c>
      <c r="J52" s="209">
        <v>32</v>
      </c>
      <c r="K52" s="123" t="s">
        <v>36</v>
      </c>
      <c r="L52" s="123" t="s">
        <v>669</v>
      </c>
      <c r="M52" s="123" t="s">
        <v>104</v>
      </c>
      <c r="N52" s="123" t="s">
        <v>657</v>
      </c>
    </row>
    <row r="53" spans="1:14" ht="18.75" customHeight="1" x14ac:dyDescent="0.25">
      <c r="A53" s="122">
        <v>23</v>
      </c>
      <c r="B53" s="123" t="s">
        <v>149</v>
      </c>
      <c r="C53" s="123" t="s">
        <v>150</v>
      </c>
      <c r="D53" s="123" t="s">
        <v>151</v>
      </c>
      <c r="E53" s="124" t="s">
        <v>104</v>
      </c>
      <c r="F53" s="123"/>
      <c r="G53" s="123" t="s">
        <v>449</v>
      </c>
      <c r="H53" s="123" t="s">
        <v>450</v>
      </c>
      <c r="I53" s="123" t="s">
        <v>451</v>
      </c>
      <c r="J53" s="209">
        <v>45</v>
      </c>
      <c r="K53" s="123" t="s">
        <v>36</v>
      </c>
      <c r="L53" s="123" t="s">
        <v>670</v>
      </c>
      <c r="M53" s="123" t="s">
        <v>104</v>
      </c>
      <c r="N53" s="123" t="s">
        <v>657</v>
      </c>
    </row>
    <row r="54" spans="1:14" ht="18.75" customHeight="1" x14ac:dyDescent="0.25">
      <c r="A54" s="122">
        <v>24</v>
      </c>
      <c r="B54" s="123" t="s">
        <v>149</v>
      </c>
      <c r="C54" s="123" t="s">
        <v>150</v>
      </c>
      <c r="D54" s="123" t="s">
        <v>151</v>
      </c>
      <c r="E54" s="124" t="s">
        <v>104</v>
      </c>
      <c r="F54" s="123"/>
      <c r="G54" s="123" t="s">
        <v>453</v>
      </c>
      <c r="H54" s="123" t="s">
        <v>454</v>
      </c>
      <c r="I54" s="123" t="s">
        <v>455</v>
      </c>
      <c r="J54" s="209">
        <v>41</v>
      </c>
      <c r="K54" s="123" t="s">
        <v>480</v>
      </c>
      <c r="L54" s="123" t="s">
        <v>658</v>
      </c>
      <c r="M54" s="123" t="s">
        <v>412</v>
      </c>
      <c r="N54" s="123" t="s">
        <v>659</v>
      </c>
    </row>
    <row r="55" spans="1:14" ht="18.75" customHeight="1" x14ac:dyDescent="0.25">
      <c r="A55" s="122">
        <v>25</v>
      </c>
      <c r="B55" s="123" t="s">
        <v>149</v>
      </c>
      <c r="C55" s="123" t="s">
        <v>150</v>
      </c>
      <c r="D55" s="123" t="s">
        <v>151</v>
      </c>
      <c r="E55" s="124" t="s">
        <v>104</v>
      </c>
      <c r="F55" s="123"/>
      <c r="G55" s="123" t="s">
        <v>457</v>
      </c>
      <c r="H55" s="123" t="s">
        <v>458</v>
      </c>
      <c r="I55" s="123" t="s">
        <v>459</v>
      </c>
      <c r="J55" s="209">
        <v>37</v>
      </c>
      <c r="K55" s="123" t="s">
        <v>36</v>
      </c>
      <c r="L55" s="123" t="s">
        <v>671</v>
      </c>
      <c r="M55" s="123" t="s">
        <v>104</v>
      </c>
      <c r="N55" s="123" t="s">
        <v>657</v>
      </c>
    </row>
    <row r="56" spans="1:14" ht="18.75" customHeight="1" x14ac:dyDescent="0.25">
      <c r="A56" s="122" t="s">
        <v>716</v>
      </c>
      <c r="B56" s="123" t="s">
        <v>149</v>
      </c>
      <c r="C56" s="123" t="s">
        <v>150</v>
      </c>
      <c r="D56" s="123" t="s">
        <v>151</v>
      </c>
      <c r="E56" s="124" t="s">
        <v>104</v>
      </c>
      <c r="F56" s="123"/>
      <c r="G56" s="123" t="s">
        <v>674</v>
      </c>
      <c r="H56" s="123" t="s">
        <v>458</v>
      </c>
      <c r="I56" s="123" t="s">
        <v>377</v>
      </c>
      <c r="J56" s="209">
        <v>24</v>
      </c>
      <c r="K56" s="123"/>
      <c r="L56" s="123"/>
      <c r="M56" s="123"/>
      <c r="N56" s="123"/>
    </row>
    <row r="57" spans="1:14" ht="4.5" customHeight="1" x14ac:dyDescent="0.25">
      <c r="A57" s="105">
        <v>1</v>
      </c>
      <c r="B57" s="105" t="s">
        <v>152</v>
      </c>
      <c r="C57" s="105" t="s">
        <v>153</v>
      </c>
      <c r="D57" s="105" t="s">
        <v>154</v>
      </c>
      <c r="E57" s="105" t="s">
        <v>104</v>
      </c>
      <c r="F57" s="105"/>
      <c r="G57" s="105" t="s">
        <v>353</v>
      </c>
      <c r="H57" s="105" t="s">
        <v>354</v>
      </c>
      <c r="I57" s="105" t="s">
        <v>360</v>
      </c>
      <c r="J57" s="201">
        <v>45</v>
      </c>
      <c r="K57" s="105" t="s">
        <v>36</v>
      </c>
      <c r="L57" s="105" t="s">
        <v>656</v>
      </c>
      <c r="M57" s="105" t="s">
        <v>104</v>
      </c>
      <c r="N57" s="105" t="s">
        <v>657</v>
      </c>
    </row>
    <row r="58" spans="1:14" ht="19.5" customHeight="1" x14ac:dyDescent="0.25">
      <c r="A58" s="268" t="s">
        <v>716</v>
      </c>
      <c r="B58" s="260"/>
      <c r="C58" s="260"/>
      <c r="D58" s="260"/>
      <c r="E58" s="260"/>
      <c r="F58" s="260"/>
      <c r="G58" s="260"/>
      <c r="H58" s="260"/>
      <c r="I58" s="260"/>
      <c r="J58" s="260"/>
      <c r="K58" s="260"/>
      <c r="L58" s="260"/>
      <c r="M58" s="260"/>
      <c r="N58" s="261"/>
    </row>
    <row r="59" spans="1:14" ht="18.75" customHeight="1" x14ac:dyDescent="0.25">
      <c r="A59" s="34">
        <v>3</v>
      </c>
      <c r="B59" s="35" t="s">
        <v>152</v>
      </c>
      <c r="C59" s="35" t="s">
        <v>153</v>
      </c>
      <c r="D59" s="35" t="s">
        <v>154</v>
      </c>
      <c r="E59" s="101" t="s">
        <v>104</v>
      </c>
      <c r="F59" s="35"/>
      <c r="G59" s="35" t="s">
        <v>369</v>
      </c>
      <c r="H59" s="35" t="s">
        <v>370</v>
      </c>
      <c r="I59" s="35" t="s">
        <v>372</v>
      </c>
      <c r="J59" s="198">
        <v>39</v>
      </c>
      <c r="K59" s="35" t="s">
        <v>480</v>
      </c>
      <c r="L59" s="35" t="s">
        <v>658</v>
      </c>
      <c r="M59" s="35" t="s">
        <v>412</v>
      </c>
      <c r="N59" s="35" t="s">
        <v>659</v>
      </c>
    </row>
    <row r="60" spans="1:14" ht="18.75" customHeight="1" x14ac:dyDescent="0.25">
      <c r="A60" s="119">
        <v>4</v>
      </c>
      <c r="B60" s="120" t="s">
        <v>152</v>
      </c>
      <c r="C60" s="120" t="s">
        <v>153</v>
      </c>
      <c r="D60" s="120" t="s">
        <v>154</v>
      </c>
      <c r="E60" s="121" t="s">
        <v>104</v>
      </c>
      <c r="F60" s="120"/>
      <c r="G60" s="120" t="s">
        <v>374</v>
      </c>
      <c r="H60" s="120" t="s">
        <v>375</v>
      </c>
      <c r="I60" s="120" t="s">
        <v>377</v>
      </c>
      <c r="J60" s="208">
        <v>23</v>
      </c>
      <c r="K60" s="120" t="s">
        <v>36</v>
      </c>
      <c r="L60" s="120" t="s">
        <v>660</v>
      </c>
      <c r="M60" s="120" t="s">
        <v>104</v>
      </c>
      <c r="N60" s="120" t="s">
        <v>657</v>
      </c>
    </row>
    <row r="61" spans="1:14" ht="18.75" customHeight="1" x14ac:dyDescent="0.25">
      <c r="A61" s="119">
        <v>5</v>
      </c>
      <c r="B61" s="120" t="s">
        <v>152</v>
      </c>
      <c r="C61" s="120" t="s">
        <v>153</v>
      </c>
      <c r="D61" s="120" t="s">
        <v>154</v>
      </c>
      <c r="E61" s="121" t="s">
        <v>104</v>
      </c>
      <c r="F61" s="120"/>
      <c r="G61" s="120" t="s">
        <v>379</v>
      </c>
      <c r="H61" s="120" t="s">
        <v>380</v>
      </c>
      <c r="I61" s="120" t="s">
        <v>381</v>
      </c>
      <c r="J61" s="208">
        <v>26</v>
      </c>
      <c r="K61" s="120" t="s">
        <v>480</v>
      </c>
      <c r="L61" s="120" t="s">
        <v>658</v>
      </c>
      <c r="M61" s="120" t="s">
        <v>412</v>
      </c>
      <c r="N61" s="120" t="s">
        <v>659</v>
      </c>
    </row>
    <row r="62" spans="1:14" ht="18.75" customHeight="1" x14ac:dyDescent="0.25">
      <c r="A62" s="119">
        <v>6</v>
      </c>
      <c r="B62" s="120" t="s">
        <v>152</v>
      </c>
      <c r="C62" s="120" t="s">
        <v>153</v>
      </c>
      <c r="D62" s="120" t="s">
        <v>154</v>
      </c>
      <c r="E62" s="121" t="s">
        <v>104</v>
      </c>
      <c r="F62" s="120"/>
      <c r="G62" s="120" t="s">
        <v>383</v>
      </c>
      <c r="H62" s="120" t="s">
        <v>384</v>
      </c>
      <c r="I62" s="120" t="s">
        <v>385</v>
      </c>
      <c r="J62" s="208">
        <v>35</v>
      </c>
      <c r="K62" s="120" t="s">
        <v>36</v>
      </c>
      <c r="L62" s="120" t="s">
        <v>661</v>
      </c>
      <c r="M62" s="120" t="s">
        <v>104</v>
      </c>
      <c r="N62" s="120" t="s">
        <v>657</v>
      </c>
    </row>
    <row r="63" spans="1:14" ht="18.75" customHeight="1" x14ac:dyDescent="0.25">
      <c r="A63" s="119">
        <v>7</v>
      </c>
      <c r="B63" s="120" t="s">
        <v>152</v>
      </c>
      <c r="C63" s="120" t="s">
        <v>153</v>
      </c>
      <c r="D63" s="120" t="s">
        <v>154</v>
      </c>
      <c r="E63" s="121" t="s">
        <v>104</v>
      </c>
      <c r="F63" s="120"/>
      <c r="G63" s="120" t="s">
        <v>387</v>
      </c>
      <c r="H63" s="120" t="s">
        <v>388</v>
      </c>
      <c r="I63" s="120" t="s">
        <v>389</v>
      </c>
      <c r="J63" s="208">
        <v>31</v>
      </c>
      <c r="K63" s="120" t="s">
        <v>480</v>
      </c>
      <c r="L63" s="120" t="s">
        <v>658</v>
      </c>
      <c r="M63" s="120" t="s">
        <v>412</v>
      </c>
      <c r="N63" s="120" t="s">
        <v>659</v>
      </c>
    </row>
    <row r="64" spans="1:14" ht="18.75" customHeight="1" x14ac:dyDescent="0.25">
      <c r="A64" s="119">
        <v>8</v>
      </c>
      <c r="B64" s="120" t="s">
        <v>152</v>
      </c>
      <c r="C64" s="120" t="s">
        <v>153</v>
      </c>
      <c r="D64" s="120" t="s">
        <v>154</v>
      </c>
      <c r="E64" s="121" t="s">
        <v>104</v>
      </c>
      <c r="F64" s="120"/>
      <c r="G64" s="120" t="s">
        <v>391</v>
      </c>
      <c r="H64" s="120" t="s">
        <v>392</v>
      </c>
      <c r="I64" s="120" t="s">
        <v>393</v>
      </c>
      <c r="J64" s="208">
        <v>27</v>
      </c>
      <c r="K64" s="120" t="s">
        <v>480</v>
      </c>
      <c r="L64" s="120" t="s">
        <v>658</v>
      </c>
      <c r="M64" s="120" t="s">
        <v>412</v>
      </c>
      <c r="N64" s="120" t="s">
        <v>659</v>
      </c>
    </row>
    <row r="65" spans="1:14" ht="18.75" customHeight="1" x14ac:dyDescent="0.25">
      <c r="A65" s="119">
        <v>9</v>
      </c>
      <c r="B65" s="120" t="s">
        <v>152</v>
      </c>
      <c r="C65" s="120" t="s">
        <v>153</v>
      </c>
      <c r="D65" s="120" t="s">
        <v>154</v>
      </c>
      <c r="E65" s="121" t="s">
        <v>104</v>
      </c>
      <c r="F65" s="120"/>
      <c r="G65" s="120" t="s">
        <v>395</v>
      </c>
      <c r="H65" s="120" t="s">
        <v>396</v>
      </c>
      <c r="I65" s="120" t="s">
        <v>360</v>
      </c>
      <c r="J65" s="208">
        <v>36</v>
      </c>
      <c r="K65" s="120" t="s">
        <v>36</v>
      </c>
      <c r="L65" s="120" t="s">
        <v>662</v>
      </c>
      <c r="M65" s="120" t="s">
        <v>104</v>
      </c>
      <c r="N65" s="120" t="s">
        <v>657</v>
      </c>
    </row>
    <row r="66" spans="1:14" ht="18.75" customHeight="1" x14ac:dyDescent="0.25">
      <c r="A66" s="119">
        <v>10</v>
      </c>
      <c r="B66" s="120" t="s">
        <v>152</v>
      </c>
      <c r="C66" s="120" t="s">
        <v>153</v>
      </c>
      <c r="D66" s="120" t="s">
        <v>154</v>
      </c>
      <c r="E66" s="121" t="s">
        <v>104</v>
      </c>
      <c r="F66" s="120"/>
      <c r="G66" s="120" t="s">
        <v>399</v>
      </c>
      <c r="H66" s="120" t="s">
        <v>400</v>
      </c>
      <c r="I66" s="120" t="s">
        <v>372</v>
      </c>
      <c r="J66" s="208">
        <v>41</v>
      </c>
      <c r="K66" s="120" t="s">
        <v>480</v>
      </c>
      <c r="L66" s="120" t="s">
        <v>658</v>
      </c>
      <c r="M66" s="120" t="s">
        <v>412</v>
      </c>
      <c r="N66" s="120" t="s">
        <v>659</v>
      </c>
    </row>
    <row r="67" spans="1:14" ht="18.75" customHeight="1" x14ac:dyDescent="0.25">
      <c r="A67" s="119">
        <v>11</v>
      </c>
      <c r="B67" s="120" t="s">
        <v>152</v>
      </c>
      <c r="C67" s="120" t="s">
        <v>153</v>
      </c>
      <c r="D67" s="120" t="s">
        <v>154</v>
      </c>
      <c r="E67" s="121" t="s">
        <v>104</v>
      </c>
      <c r="F67" s="120"/>
      <c r="G67" s="120" t="s">
        <v>402</v>
      </c>
      <c r="H67" s="120" t="s">
        <v>403</v>
      </c>
      <c r="I67" s="120" t="s">
        <v>404</v>
      </c>
      <c r="J67" s="208">
        <v>32</v>
      </c>
      <c r="K67" s="120" t="s">
        <v>36</v>
      </c>
      <c r="L67" s="120" t="s">
        <v>663</v>
      </c>
      <c r="M67" s="120" t="s">
        <v>104</v>
      </c>
      <c r="N67" s="120" t="s">
        <v>657</v>
      </c>
    </row>
    <row r="68" spans="1:14" ht="18.75" customHeight="1" x14ac:dyDescent="0.25">
      <c r="A68" s="119">
        <v>12</v>
      </c>
      <c r="B68" s="120" t="s">
        <v>152</v>
      </c>
      <c r="C68" s="120" t="s">
        <v>153</v>
      </c>
      <c r="D68" s="120" t="s">
        <v>154</v>
      </c>
      <c r="E68" s="121" t="s">
        <v>104</v>
      </c>
      <c r="F68" s="120"/>
      <c r="G68" s="120" t="s">
        <v>406</v>
      </c>
      <c r="H68" s="120" t="s">
        <v>407</v>
      </c>
      <c r="I68" s="120" t="s">
        <v>367</v>
      </c>
      <c r="J68" s="208">
        <v>25</v>
      </c>
      <c r="K68" s="120" t="s">
        <v>480</v>
      </c>
      <c r="L68" s="120" t="s">
        <v>658</v>
      </c>
      <c r="M68" s="120" t="s">
        <v>412</v>
      </c>
      <c r="N68" s="120" t="s">
        <v>659</v>
      </c>
    </row>
    <row r="69" spans="1:14" ht="18.75" customHeight="1" x14ac:dyDescent="0.25">
      <c r="A69" s="119">
        <v>13</v>
      </c>
      <c r="B69" s="120" t="s">
        <v>152</v>
      </c>
      <c r="C69" s="120" t="s">
        <v>153</v>
      </c>
      <c r="D69" s="120" t="s">
        <v>154</v>
      </c>
      <c r="E69" s="121" t="s">
        <v>104</v>
      </c>
      <c r="F69" s="120"/>
      <c r="G69" s="120" t="s">
        <v>409</v>
      </c>
      <c r="H69" s="120" t="s">
        <v>410</v>
      </c>
      <c r="I69" s="120" t="s">
        <v>360</v>
      </c>
      <c r="J69" s="208">
        <v>45</v>
      </c>
      <c r="K69" s="120" t="s">
        <v>36</v>
      </c>
      <c r="L69" s="120" t="s">
        <v>664</v>
      </c>
      <c r="M69" s="120" t="s">
        <v>104</v>
      </c>
      <c r="N69" s="120" t="s">
        <v>657</v>
      </c>
    </row>
    <row r="70" spans="1:14" ht="18.75" customHeight="1" x14ac:dyDescent="0.25">
      <c r="A70" s="119">
        <v>14</v>
      </c>
      <c r="B70" s="120" t="s">
        <v>152</v>
      </c>
      <c r="C70" s="120" t="s">
        <v>153</v>
      </c>
      <c r="D70" s="120" t="s">
        <v>154</v>
      </c>
      <c r="E70" s="121" t="s">
        <v>104</v>
      </c>
      <c r="F70" s="120"/>
      <c r="G70" s="120" t="s">
        <v>415</v>
      </c>
      <c r="H70" s="120" t="s">
        <v>416</v>
      </c>
      <c r="I70" s="120" t="s">
        <v>385</v>
      </c>
      <c r="J70" s="208">
        <v>15</v>
      </c>
      <c r="K70" s="120" t="s">
        <v>36</v>
      </c>
      <c r="L70" s="120" t="s">
        <v>665</v>
      </c>
      <c r="M70" s="120" t="s">
        <v>104</v>
      </c>
      <c r="N70" s="120" t="s">
        <v>657</v>
      </c>
    </row>
    <row r="71" spans="1:14" ht="18.75" customHeight="1" x14ac:dyDescent="0.25">
      <c r="A71" s="119">
        <v>15</v>
      </c>
      <c r="B71" s="120" t="s">
        <v>152</v>
      </c>
      <c r="C71" s="120" t="s">
        <v>153</v>
      </c>
      <c r="D71" s="120" t="s">
        <v>154</v>
      </c>
      <c r="E71" s="121" t="s">
        <v>104</v>
      </c>
      <c r="F71" s="120"/>
      <c r="G71" s="120" t="s">
        <v>418</v>
      </c>
      <c r="H71" s="120" t="s">
        <v>419</v>
      </c>
      <c r="I71" s="120" t="s">
        <v>421</v>
      </c>
      <c r="J71" s="208">
        <v>18</v>
      </c>
      <c r="K71" s="120" t="s">
        <v>480</v>
      </c>
      <c r="L71" s="120" t="s">
        <v>658</v>
      </c>
      <c r="M71" s="120" t="s">
        <v>412</v>
      </c>
      <c r="N71" s="120" t="s">
        <v>659</v>
      </c>
    </row>
    <row r="72" spans="1:14" ht="18.75" customHeight="1" x14ac:dyDescent="0.25">
      <c r="A72" s="119">
        <v>16</v>
      </c>
      <c r="B72" s="120" t="s">
        <v>152</v>
      </c>
      <c r="C72" s="120" t="s">
        <v>153</v>
      </c>
      <c r="D72" s="120" t="s">
        <v>154</v>
      </c>
      <c r="E72" s="121" t="s">
        <v>104</v>
      </c>
      <c r="F72" s="120"/>
      <c r="G72" s="120" t="s">
        <v>423</v>
      </c>
      <c r="H72" s="120" t="s">
        <v>424</v>
      </c>
      <c r="I72" s="120" t="s">
        <v>425</v>
      </c>
      <c r="J72" s="208">
        <v>43</v>
      </c>
      <c r="K72" s="120" t="s">
        <v>36</v>
      </c>
      <c r="L72" s="120" t="s">
        <v>666</v>
      </c>
      <c r="M72" s="120" t="s">
        <v>104</v>
      </c>
      <c r="N72" s="120" t="s">
        <v>657</v>
      </c>
    </row>
    <row r="73" spans="1:14" ht="18.75" customHeight="1" x14ac:dyDescent="0.25">
      <c r="A73" s="119">
        <v>17</v>
      </c>
      <c r="B73" s="120" t="s">
        <v>152</v>
      </c>
      <c r="C73" s="120" t="s">
        <v>153</v>
      </c>
      <c r="D73" s="120" t="s">
        <v>154</v>
      </c>
      <c r="E73" s="121" t="s">
        <v>104</v>
      </c>
      <c r="F73" s="120"/>
      <c r="G73" s="120" t="s">
        <v>427</v>
      </c>
      <c r="H73" s="120" t="s">
        <v>428</v>
      </c>
      <c r="I73" s="120" t="s">
        <v>429</v>
      </c>
      <c r="J73" s="208">
        <v>23</v>
      </c>
      <c r="K73" s="120" t="s">
        <v>480</v>
      </c>
      <c r="L73" s="120" t="s">
        <v>658</v>
      </c>
      <c r="M73" s="120" t="s">
        <v>412</v>
      </c>
      <c r="N73" s="120" t="s">
        <v>659</v>
      </c>
    </row>
    <row r="74" spans="1:14" ht="18.75" customHeight="1" x14ac:dyDescent="0.25">
      <c r="A74" s="119">
        <v>18</v>
      </c>
      <c r="B74" s="120" t="s">
        <v>152</v>
      </c>
      <c r="C74" s="120" t="s">
        <v>153</v>
      </c>
      <c r="D74" s="120" t="s">
        <v>154</v>
      </c>
      <c r="E74" s="121" t="s">
        <v>104</v>
      </c>
      <c r="F74" s="120"/>
      <c r="G74" s="120" t="s">
        <v>431</v>
      </c>
      <c r="H74" s="120" t="s">
        <v>432</v>
      </c>
      <c r="I74" s="120" t="s">
        <v>360</v>
      </c>
      <c r="J74" s="208">
        <v>20</v>
      </c>
      <c r="K74" s="120" t="s">
        <v>36</v>
      </c>
      <c r="L74" s="120" t="s">
        <v>667</v>
      </c>
      <c r="M74" s="120" t="s">
        <v>104</v>
      </c>
      <c r="N74" s="120" t="s">
        <v>657</v>
      </c>
    </row>
    <row r="75" spans="1:14" ht="18.75" customHeight="1" x14ac:dyDescent="0.25">
      <c r="A75" s="119">
        <v>19</v>
      </c>
      <c r="B75" s="120" t="s">
        <v>152</v>
      </c>
      <c r="C75" s="120" t="s">
        <v>153</v>
      </c>
      <c r="D75" s="120" t="s">
        <v>154</v>
      </c>
      <c r="E75" s="121" t="s">
        <v>104</v>
      </c>
      <c r="F75" s="120"/>
      <c r="G75" s="120" t="s">
        <v>434</v>
      </c>
      <c r="H75" s="120" t="s">
        <v>435</v>
      </c>
      <c r="I75" s="120" t="s">
        <v>436</v>
      </c>
      <c r="J75" s="208">
        <v>33</v>
      </c>
      <c r="K75" s="120" t="s">
        <v>480</v>
      </c>
      <c r="L75" s="120" t="s">
        <v>658</v>
      </c>
      <c r="M75" s="120" t="s">
        <v>412</v>
      </c>
      <c r="N75" s="120" t="s">
        <v>659</v>
      </c>
    </row>
    <row r="76" spans="1:14" ht="18.75" customHeight="1" x14ac:dyDescent="0.25">
      <c r="A76" s="119">
        <v>20</v>
      </c>
      <c r="B76" s="120" t="s">
        <v>152</v>
      </c>
      <c r="C76" s="120" t="s">
        <v>153</v>
      </c>
      <c r="D76" s="120" t="s">
        <v>154</v>
      </c>
      <c r="E76" s="121" t="s">
        <v>104</v>
      </c>
      <c r="F76" s="120"/>
      <c r="G76" s="120" t="s">
        <v>438</v>
      </c>
      <c r="H76" s="120" t="s">
        <v>439</v>
      </c>
      <c r="I76" s="120" t="s">
        <v>440</v>
      </c>
      <c r="J76" s="208">
        <v>45</v>
      </c>
      <c r="K76" s="120" t="s">
        <v>36</v>
      </c>
      <c r="L76" s="120" t="s">
        <v>668</v>
      </c>
      <c r="M76" s="120" t="s">
        <v>104</v>
      </c>
      <c r="N76" s="120" t="s">
        <v>657</v>
      </c>
    </row>
    <row r="77" spans="1:14" ht="18.75" customHeight="1" x14ac:dyDescent="0.25">
      <c r="A77" s="119">
        <v>21</v>
      </c>
      <c r="B77" s="120" t="s">
        <v>152</v>
      </c>
      <c r="C77" s="120" t="s">
        <v>153</v>
      </c>
      <c r="D77" s="120" t="s">
        <v>154</v>
      </c>
      <c r="E77" s="121" t="s">
        <v>104</v>
      </c>
      <c r="F77" s="120"/>
      <c r="G77" s="120" t="s">
        <v>442</v>
      </c>
      <c r="H77" s="120" t="s">
        <v>443</v>
      </c>
      <c r="I77" s="120" t="s">
        <v>381</v>
      </c>
      <c r="J77" s="208">
        <v>23</v>
      </c>
      <c r="K77" s="120" t="s">
        <v>480</v>
      </c>
      <c r="L77" s="120" t="s">
        <v>658</v>
      </c>
      <c r="M77" s="120" t="s">
        <v>412</v>
      </c>
      <c r="N77" s="120" t="s">
        <v>659</v>
      </c>
    </row>
    <row r="78" spans="1:14" ht="18.75" customHeight="1" x14ac:dyDescent="0.25">
      <c r="A78" s="119">
        <v>22</v>
      </c>
      <c r="B78" s="120" t="s">
        <v>152</v>
      </c>
      <c r="C78" s="120" t="s">
        <v>153</v>
      </c>
      <c r="D78" s="120" t="s">
        <v>154</v>
      </c>
      <c r="E78" s="121" t="s">
        <v>104</v>
      </c>
      <c r="F78" s="120"/>
      <c r="G78" s="120" t="s">
        <v>445</v>
      </c>
      <c r="H78" s="120" t="s">
        <v>446</v>
      </c>
      <c r="I78" s="120" t="s">
        <v>372</v>
      </c>
      <c r="J78" s="208">
        <v>16</v>
      </c>
      <c r="K78" s="120" t="s">
        <v>36</v>
      </c>
      <c r="L78" s="120" t="s">
        <v>669</v>
      </c>
      <c r="M78" s="120" t="s">
        <v>104</v>
      </c>
      <c r="N78" s="120" t="s">
        <v>657</v>
      </c>
    </row>
    <row r="79" spans="1:14" ht="18.75" customHeight="1" x14ac:dyDescent="0.25">
      <c r="A79" s="119">
        <v>23</v>
      </c>
      <c r="B79" s="120" t="s">
        <v>152</v>
      </c>
      <c r="C79" s="120" t="s">
        <v>153</v>
      </c>
      <c r="D79" s="120" t="s">
        <v>154</v>
      </c>
      <c r="E79" s="121" t="s">
        <v>104</v>
      </c>
      <c r="F79" s="120"/>
      <c r="G79" s="120" t="s">
        <v>449</v>
      </c>
      <c r="H79" s="120" t="s">
        <v>450</v>
      </c>
      <c r="I79" s="120" t="s">
        <v>451</v>
      </c>
      <c r="J79" s="208">
        <v>18</v>
      </c>
      <c r="K79" s="120" t="s">
        <v>36</v>
      </c>
      <c r="L79" s="120" t="s">
        <v>670</v>
      </c>
      <c r="M79" s="120" t="s">
        <v>104</v>
      </c>
      <c r="N79" s="120" t="s">
        <v>657</v>
      </c>
    </row>
    <row r="80" spans="1:14" ht="18.75" customHeight="1" x14ac:dyDescent="0.25">
      <c r="A80" s="119">
        <v>24</v>
      </c>
      <c r="B80" s="120" t="s">
        <v>152</v>
      </c>
      <c r="C80" s="120" t="s">
        <v>153</v>
      </c>
      <c r="D80" s="120" t="s">
        <v>154</v>
      </c>
      <c r="E80" s="121" t="s">
        <v>104</v>
      </c>
      <c r="F80" s="120"/>
      <c r="G80" s="120" t="s">
        <v>453</v>
      </c>
      <c r="H80" s="120" t="s">
        <v>454</v>
      </c>
      <c r="I80" s="120" t="s">
        <v>455</v>
      </c>
      <c r="J80" s="208">
        <v>34</v>
      </c>
      <c r="K80" s="120" t="s">
        <v>480</v>
      </c>
      <c r="L80" s="120" t="s">
        <v>658</v>
      </c>
      <c r="M80" s="120" t="s">
        <v>412</v>
      </c>
      <c r="N80" s="120" t="s">
        <v>659</v>
      </c>
    </row>
    <row r="81" spans="1:14" ht="18.75" customHeight="1" x14ac:dyDescent="0.25">
      <c r="A81" s="119">
        <v>25</v>
      </c>
      <c r="B81" s="120" t="s">
        <v>152</v>
      </c>
      <c r="C81" s="120" t="s">
        <v>153</v>
      </c>
      <c r="D81" s="120" t="s">
        <v>154</v>
      </c>
      <c r="E81" s="121" t="s">
        <v>104</v>
      </c>
      <c r="F81" s="120"/>
      <c r="G81" s="120" t="s">
        <v>457</v>
      </c>
      <c r="H81" s="120" t="s">
        <v>458</v>
      </c>
      <c r="I81" s="120" t="s">
        <v>459</v>
      </c>
      <c r="J81" s="208">
        <v>28</v>
      </c>
      <c r="K81" s="120" t="s">
        <v>36</v>
      </c>
      <c r="L81" s="120" t="s">
        <v>671</v>
      </c>
      <c r="M81" s="120" t="s">
        <v>104</v>
      </c>
      <c r="N81" s="120" t="s">
        <v>657</v>
      </c>
    </row>
    <row r="82" spans="1:14" ht="18.75" customHeight="1" x14ac:dyDescent="0.25">
      <c r="A82" s="119" t="s">
        <v>717</v>
      </c>
      <c r="B82" s="120" t="s">
        <v>152</v>
      </c>
      <c r="C82" s="120" t="s">
        <v>153</v>
      </c>
      <c r="D82" s="120" t="s">
        <v>154</v>
      </c>
      <c r="E82" s="121" t="s">
        <v>104</v>
      </c>
      <c r="F82" s="120"/>
      <c r="G82" s="120" t="s">
        <v>676</v>
      </c>
      <c r="H82" s="120" t="s">
        <v>454</v>
      </c>
      <c r="I82" s="120" t="s">
        <v>646</v>
      </c>
      <c r="J82" s="208">
        <v>26</v>
      </c>
      <c r="K82" s="120"/>
      <c r="L82" s="120"/>
      <c r="M82" s="120"/>
      <c r="N82" s="120"/>
    </row>
    <row r="83" spans="1:14" ht="18.75" customHeight="1" x14ac:dyDescent="0.25">
      <c r="A83" s="119">
        <v>1</v>
      </c>
      <c r="B83" s="120" t="s">
        <v>155</v>
      </c>
      <c r="C83" s="120" t="s">
        <v>143</v>
      </c>
      <c r="D83" s="120" t="s">
        <v>154</v>
      </c>
      <c r="E83" s="121" t="s">
        <v>104</v>
      </c>
      <c r="F83" s="120"/>
      <c r="G83" s="120" t="s">
        <v>353</v>
      </c>
      <c r="H83" s="120" t="s">
        <v>354</v>
      </c>
      <c r="I83" s="120" t="s">
        <v>360</v>
      </c>
      <c r="J83" s="208">
        <v>43</v>
      </c>
      <c r="K83" s="120" t="s">
        <v>36</v>
      </c>
      <c r="L83" s="120" t="s">
        <v>656</v>
      </c>
      <c r="M83" s="120" t="s">
        <v>104</v>
      </c>
      <c r="N83" s="120" t="s">
        <v>657</v>
      </c>
    </row>
    <row r="84" spans="1:14" ht="4.5" customHeight="1" x14ac:dyDescent="0.25">
      <c r="A84" s="105">
        <v>2</v>
      </c>
      <c r="B84" s="105" t="s">
        <v>155</v>
      </c>
      <c r="C84" s="105" t="s">
        <v>143</v>
      </c>
      <c r="D84" s="105" t="s">
        <v>154</v>
      </c>
      <c r="E84" s="105" t="s">
        <v>104</v>
      </c>
      <c r="F84" s="105"/>
      <c r="G84" s="105" t="s">
        <v>363</v>
      </c>
      <c r="H84" s="105" t="s">
        <v>364</v>
      </c>
      <c r="I84" s="105" t="s">
        <v>367</v>
      </c>
      <c r="J84" s="201">
        <v>45</v>
      </c>
      <c r="K84" s="105" t="s">
        <v>480</v>
      </c>
      <c r="L84" s="105" t="s">
        <v>658</v>
      </c>
      <c r="M84" s="105" t="s">
        <v>412</v>
      </c>
      <c r="N84" s="105" t="s">
        <v>659</v>
      </c>
    </row>
    <row r="85" spans="1:14" ht="19.5" customHeight="1" x14ac:dyDescent="0.25">
      <c r="A85" s="268" t="s">
        <v>717</v>
      </c>
      <c r="B85" s="260"/>
      <c r="C85" s="260"/>
      <c r="D85" s="260"/>
      <c r="E85" s="260"/>
      <c r="F85" s="260"/>
      <c r="G85" s="260"/>
      <c r="H85" s="260"/>
      <c r="I85" s="260"/>
      <c r="J85" s="260"/>
      <c r="K85" s="260"/>
      <c r="L85" s="260"/>
      <c r="M85" s="260"/>
      <c r="N85" s="261"/>
    </row>
    <row r="86" spans="1:14" ht="18.75" customHeight="1" x14ac:dyDescent="0.25">
      <c r="A86" s="34">
        <v>4</v>
      </c>
      <c r="B86" s="35" t="s">
        <v>155</v>
      </c>
      <c r="C86" s="35" t="s">
        <v>143</v>
      </c>
      <c r="D86" s="35" t="s">
        <v>154</v>
      </c>
      <c r="E86" s="101" t="s">
        <v>104</v>
      </c>
      <c r="F86" s="35"/>
      <c r="G86" s="35" t="s">
        <v>374</v>
      </c>
      <c r="H86" s="35" t="s">
        <v>375</v>
      </c>
      <c r="I86" s="35" t="s">
        <v>377</v>
      </c>
      <c r="J86" s="198">
        <v>30</v>
      </c>
      <c r="K86" s="35" t="s">
        <v>36</v>
      </c>
      <c r="L86" s="35" t="s">
        <v>660</v>
      </c>
      <c r="M86" s="35" t="s">
        <v>104</v>
      </c>
      <c r="N86" s="35" t="s">
        <v>657</v>
      </c>
    </row>
    <row r="87" spans="1:14" ht="18.75" customHeight="1" x14ac:dyDescent="0.25">
      <c r="A87" s="122">
        <v>5</v>
      </c>
      <c r="B87" s="123" t="s">
        <v>155</v>
      </c>
      <c r="C87" s="123" t="s">
        <v>143</v>
      </c>
      <c r="D87" s="123" t="s">
        <v>154</v>
      </c>
      <c r="E87" s="124" t="s">
        <v>104</v>
      </c>
      <c r="F87" s="123"/>
      <c r="G87" s="123" t="s">
        <v>379</v>
      </c>
      <c r="H87" s="123" t="s">
        <v>380</v>
      </c>
      <c r="I87" s="123" t="s">
        <v>381</v>
      </c>
      <c r="J87" s="209">
        <v>33</v>
      </c>
      <c r="K87" s="123" t="s">
        <v>480</v>
      </c>
      <c r="L87" s="123" t="s">
        <v>658</v>
      </c>
      <c r="M87" s="123" t="s">
        <v>412</v>
      </c>
      <c r="N87" s="123" t="s">
        <v>659</v>
      </c>
    </row>
    <row r="88" spans="1:14" ht="18.75" customHeight="1" x14ac:dyDescent="0.25">
      <c r="A88" s="122">
        <v>6</v>
      </c>
      <c r="B88" s="123" t="s">
        <v>155</v>
      </c>
      <c r="C88" s="123" t="s">
        <v>143</v>
      </c>
      <c r="D88" s="123" t="s">
        <v>154</v>
      </c>
      <c r="E88" s="124" t="s">
        <v>104</v>
      </c>
      <c r="F88" s="123"/>
      <c r="G88" s="123" t="s">
        <v>383</v>
      </c>
      <c r="H88" s="123" t="s">
        <v>384</v>
      </c>
      <c r="I88" s="123" t="s">
        <v>385</v>
      </c>
      <c r="J88" s="209">
        <v>39</v>
      </c>
      <c r="K88" s="123" t="s">
        <v>36</v>
      </c>
      <c r="L88" s="123" t="s">
        <v>661</v>
      </c>
      <c r="M88" s="123" t="s">
        <v>104</v>
      </c>
      <c r="N88" s="123" t="s">
        <v>657</v>
      </c>
    </row>
    <row r="89" spans="1:14" ht="18.75" customHeight="1" x14ac:dyDescent="0.25">
      <c r="A89" s="122">
        <v>7</v>
      </c>
      <c r="B89" s="123" t="s">
        <v>155</v>
      </c>
      <c r="C89" s="123" t="s">
        <v>143</v>
      </c>
      <c r="D89" s="123" t="s">
        <v>154</v>
      </c>
      <c r="E89" s="124" t="s">
        <v>104</v>
      </c>
      <c r="F89" s="123"/>
      <c r="G89" s="123" t="s">
        <v>387</v>
      </c>
      <c r="H89" s="123" t="s">
        <v>388</v>
      </c>
      <c r="I89" s="123" t="s">
        <v>389</v>
      </c>
      <c r="J89" s="209">
        <v>36</v>
      </c>
      <c r="K89" s="123" t="s">
        <v>480</v>
      </c>
      <c r="L89" s="123" t="s">
        <v>658</v>
      </c>
      <c r="M89" s="123" t="s">
        <v>412</v>
      </c>
      <c r="N89" s="123" t="s">
        <v>659</v>
      </c>
    </row>
    <row r="90" spans="1:14" ht="18.75" customHeight="1" x14ac:dyDescent="0.25">
      <c r="A90" s="122">
        <v>8</v>
      </c>
      <c r="B90" s="123" t="s">
        <v>155</v>
      </c>
      <c r="C90" s="123" t="s">
        <v>143</v>
      </c>
      <c r="D90" s="123" t="s">
        <v>154</v>
      </c>
      <c r="E90" s="124" t="s">
        <v>104</v>
      </c>
      <c r="F90" s="123"/>
      <c r="G90" s="123" t="s">
        <v>391</v>
      </c>
      <c r="H90" s="123" t="s">
        <v>392</v>
      </c>
      <c r="I90" s="123" t="s">
        <v>393</v>
      </c>
      <c r="J90" s="209">
        <v>23</v>
      </c>
      <c r="K90" s="123" t="s">
        <v>480</v>
      </c>
      <c r="L90" s="123" t="s">
        <v>658</v>
      </c>
      <c r="M90" s="123" t="s">
        <v>412</v>
      </c>
      <c r="N90" s="123" t="s">
        <v>659</v>
      </c>
    </row>
    <row r="91" spans="1:14" ht="18.75" customHeight="1" x14ac:dyDescent="0.25">
      <c r="A91" s="122">
        <v>9</v>
      </c>
      <c r="B91" s="123" t="s">
        <v>155</v>
      </c>
      <c r="C91" s="123" t="s">
        <v>143</v>
      </c>
      <c r="D91" s="123" t="s">
        <v>154</v>
      </c>
      <c r="E91" s="124" t="s">
        <v>104</v>
      </c>
      <c r="F91" s="123"/>
      <c r="G91" s="123" t="s">
        <v>395</v>
      </c>
      <c r="H91" s="123" t="s">
        <v>396</v>
      </c>
      <c r="I91" s="123" t="s">
        <v>360</v>
      </c>
      <c r="J91" s="209">
        <v>32</v>
      </c>
      <c r="K91" s="123" t="s">
        <v>36</v>
      </c>
      <c r="L91" s="123" t="s">
        <v>662</v>
      </c>
      <c r="M91" s="123" t="s">
        <v>104</v>
      </c>
      <c r="N91" s="123" t="s">
        <v>657</v>
      </c>
    </row>
    <row r="92" spans="1:14" ht="18.75" customHeight="1" x14ac:dyDescent="0.25">
      <c r="A92" s="122">
        <v>10</v>
      </c>
      <c r="B92" s="123" t="s">
        <v>155</v>
      </c>
      <c r="C92" s="123" t="s">
        <v>143</v>
      </c>
      <c r="D92" s="123" t="s">
        <v>154</v>
      </c>
      <c r="E92" s="124" t="s">
        <v>104</v>
      </c>
      <c r="F92" s="123"/>
      <c r="G92" s="123" t="s">
        <v>399</v>
      </c>
      <c r="H92" s="123" t="s">
        <v>400</v>
      </c>
      <c r="I92" s="123" t="s">
        <v>372</v>
      </c>
      <c r="J92" s="209">
        <v>48</v>
      </c>
      <c r="K92" s="123" t="s">
        <v>480</v>
      </c>
      <c r="L92" s="123" t="s">
        <v>658</v>
      </c>
      <c r="M92" s="123" t="s">
        <v>412</v>
      </c>
      <c r="N92" s="123" t="s">
        <v>659</v>
      </c>
    </row>
    <row r="93" spans="1:14" ht="18.75" customHeight="1" x14ac:dyDescent="0.25">
      <c r="A93" s="122">
        <v>11</v>
      </c>
      <c r="B93" s="123" t="s">
        <v>155</v>
      </c>
      <c r="C93" s="123" t="s">
        <v>143</v>
      </c>
      <c r="D93" s="123" t="s">
        <v>154</v>
      </c>
      <c r="E93" s="124" t="s">
        <v>104</v>
      </c>
      <c r="F93" s="123"/>
      <c r="G93" s="123" t="s">
        <v>402</v>
      </c>
      <c r="H93" s="123" t="s">
        <v>403</v>
      </c>
      <c r="I93" s="123" t="s">
        <v>404</v>
      </c>
      <c r="J93" s="209">
        <v>38</v>
      </c>
      <c r="K93" s="123" t="s">
        <v>36</v>
      </c>
      <c r="L93" s="123" t="s">
        <v>663</v>
      </c>
      <c r="M93" s="123" t="s">
        <v>104</v>
      </c>
      <c r="N93" s="123" t="s">
        <v>657</v>
      </c>
    </row>
    <row r="94" spans="1:14" ht="18.75" customHeight="1" x14ac:dyDescent="0.25">
      <c r="A94" s="122">
        <v>12</v>
      </c>
      <c r="B94" s="123" t="s">
        <v>155</v>
      </c>
      <c r="C94" s="123" t="s">
        <v>143</v>
      </c>
      <c r="D94" s="123" t="s">
        <v>154</v>
      </c>
      <c r="E94" s="124" t="s">
        <v>104</v>
      </c>
      <c r="F94" s="123"/>
      <c r="G94" s="123" t="s">
        <v>406</v>
      </c>
      <c r="H94" s="123" t="s">
        <v>407</v>
      </c>
      <c r="I94" s="123" t="s">
        <v>367</v>
      </c>
      <c r="J94" s="209">
        <v>26</v>
      </c>
      <c r="K94" s="123" t="s">
        <v>480</v>
      </c>
      <c r="L94" s="123" t="s">
        <v>658</v>
      </c>
      <c r="M94" s="123" t="s">
        <v>412</v>
      </c>
      <c r="N94" s="123" t="s">
        <v>659</v>
      </c>
    </row>
    <row r="95" spans="1:14" ht="18.75" customHeight="1" x14ac:dyDescent="0.25">
      <c r="A95" s="122">
        <v>13</v>
      </c>
      <c r="B95" s="123" t="s">
        <v>155</v>
      </c>
      <c r="C95" s="123" t="s">
        <v>143</v>
      </c>
      <c r="D95" s="123" t="s">
        <v>154</v>
      </c>
      <c r="E95" s="124" t="s">
        <v>104</v>
      </c>
      <c r="F95" s="123"/>
      <c r="G95" s="123" t="s">
        <v>409</v>
      </c>
      <c r="H95" s="123" t="s">
        <v>410</v>
      </c>
      <c r="I95" s="123" t="s">
        <v>360</v>
      </c>
      <c r="J95" s="209">
        <v>28</v>
      </c>
      <c r="K95" s="123" t="s">
        <v>36</v>
      </c>
      <c r="L95" s="123" t="s">
        <v>664</v>
      </c>
      <c r="M95" s="123" t="s">
        <v>104</v>
      </c>
      <c r="N95" s="123" t="s">
        <v>657</v>
      </c>
    </row>
    <row r="96" spans="1:14" ht="18.75" customHeight="1" x14ac:dyDescent="0.25">
      <c r="A96" s="122">
        <v>14</v>
      </c>
      <c r="B96" s="123" t="s">
        <v>155</v>
      </c>
      <c r="C96" s="123" t="s">
        <v>143</v>
      </c>
      <c r="D96" s="123" t="s">
        <v>154</v>
      </c>
      <c r="E96" s="124" t="s">
        <v>104</v>
      </c>
      <c r="F96" s="123"/>
      <c r="G96" s="123" t="s">
        <v>415</v>
      </c>
      <c r="H96" s="123" t="s">
        <v>416</v>
      </c>
      <c r="I96" s="123" t="s">
        <v>385</v>
      </c>
      <c r="J96" s="209">
        <v>21</v>
      </c>
      <c r="K96" s="123" t="s">
        <v>36</v>
      </c>
      <c r="L96" s="123" t="s">
        <v>665</v>
      </c>
      <c r="M96" s="123" t="s">
        <v>104</v>
      </c>
      <c r="N96" s="123" t="s">
        <v>657</v>
      </c>
    </row>
    <row r="97" spans="1:14" ht="18.75" customHeight="1" x14ac:dyDescent="0.25">
      <c r="A97" s="122">
        <v>15</v>
      </c>
      <c r="B97" s="123" t="s">
        <v>155</v>
      </c>
      <c r="C97" s="123" t="s">
        <v>143</v>
      </c>
      <c r="D97" s="123" t="s">
        <v>154</v>
      </c>
      <c r="E97" s="124" t="s">
        <v>104</v>
      </c>
      <c r="F97" s="123"/>
      <c r="G97" s="123" t="s">
        <v>418</v>
      </c>
      <c r="H97" s="123" t="s">
        <v>419</v>
      </c>
      <c r="I97" s="123" t="s">
        <v>421</v>
      </c>
      <c r="J97" s="209">
        <v>42</v>
      </c>
      <c r="K97" s="123" t="s">
        <v>480</v>
      </c>
      <c r="L97" s="123" t="s">
        <v>658</v>
      </c>
      <c r="M97" s="123" t="s">
        <v>412</v>
      </c>
      <c r="N97" s="123" t="s">
        <v>659</v>
      </c>
    </row>
    <row r="98" spans="1:14" ht="18.75" customHeight="1" x14ac:dyDescent="0.25">
      <c r="A98" s="122">
        <v>16</v>
      </c>
      <c r="B98" s="123" t="s">
        <v>155</v>
      </c>
      <c r="C98" s="123" t="s">
        <v>143</v>
      </c>
      <c r="D98" s="123" t="s">
        <v>154</v>
      </c>
      <c r="E98" s="124" t="s">
        <v>104</v>
      </c>
      <c r="F98" s="123"/>
      <c r="G98" s="123" t="s">
        <v>423</v>
      </c>
      <c r="H98" s="123" t="s">
        <v>424</v>
      </c>
      <c r="I98" s="123" t="s">
        <v>425</v>
      </c>
      <c r="J98" s="209">
        <v>33</v>
      </c>
      <c r="K98" s="123" t="s">
        <v>36</v>
      </c>
      <c r="L98" s="123" t="s">
        <v>666</v>
      </c>
      <c r="M98" s="123" t="s">
        <v>104</v>
      </c>
      <c r="N98" s="123" t="s">
        <v>657</v>
      </c>
    </row>
    <row r="99" spans="1:14" ht="18.75" customHeight="1" x14ac:dyDescent="0.25">
      <c r="A99" s="122">
        <v>17</v>
      </c>
      <c r="B99" s="123" t="s">
        <v>155</v>
      </c>
      <c r="C99" s="123" t="s">
        <v>143</v>
      </c>
      <c r="D99" s="123" t="s">
        <v>154</v>
      </c>
      <c r="E99" s="124" t="s">
        <v>104</v>
      </c>
      <c r="F99" s="123"/>
      <c r="G99" s="123" t="s">
        <v>427</v>
      </c>
      <c r="H99" s="123" t="s">
        <v>428</v>
      </c>
      <c r="I99" s="123" t="s">
        <v>429</v>
      </c>
      <c r="J99" s="209">
        <v>20</v>
      </c>
      <c r="K99" s="123" t="s">
        <v>480</v>
      </c>
      <c r="L99" s="123" t="s">
        <v>658</v>
      </c>
      <c r="M99" s="123" t="s">
        <v>412</v>
      </c>
      <c r="N99" s="123" t="s">
        <v>659</v>
      </c>
    </row>
    <row r="100" spans="1:14" ht="18.75" customHeight="1" x14ac:dyDescent="0.25">
      <c r="A100" s="122">
        <v>18</v>
      </c>
      <c r="B100" s="123" t="s">
        <v>155</v>
      </c>
      <c r="C100" s="123" t="s">
        <v>143</v>
      </c>
      <c r="D100" s="123" t="s">
        <v>154</v>
      </c>
      <c r="E100" s="124" t="s">
        <v>104</v>
      </c>
      <c r="F100" s="123"/>
      <c r="G100" s="123" t="s">
        <v>431</v>
      </c>
      <c r="H100" s="123" t="s">
        <v>432</v>
      </c>
      <c r="I100" s="123" t="s">
        <v>360</v>
      </c>
      <c r="J100" s="209">
        <v>36</v>
      </c>
      <c r="K100" s="123" t="s">
        <v>36</v>
      </c>
      <c r="L100" s="123" t="s">
        <v>667</v>
      </c>
      <c r="M100" s="123" t="s">
        <v>104</v>
      </c>
      <c r="N100" s="123" t="s">
        <v>657</v>
      </c>
    </row>
    <row r="101" spans="1:14" ht="18.75" customHeight="1" x14ac:dyDescent="0.25">
      <c r="A101" s="122">
        <v>19</v>
      </c>
      <c r="B101" s="123" t="s">
        <v>155</v>
      </c>
      <c r="C101" s="123" t="s">
        <v>143</v>
      </c>
      <c r="D101" s="123" t="s">
        <v>154</v>
      </c>
      <c r="E101" s="124" t="s">
        <v>104</v>
      </c>
      <c r="F101" s="123"/>
      <c r="G101" s="123" t="s">
        <v>434</v>
      </c>
      <c r="H101" s="123" t="s">
        <v>435</v>
      </c>
      <c r="I101" s="123" t="s">
        <v>436</v>
      </c>
      <c r="J101" s="209">
        <v>49</v>
      </c>
      <c r="K101" s="123" t="s">
        <v>480</v>
      </c>
      <c r="L101" s="123" t="s">
        <v>658</v>
      </c>
      <c r="M101" s="123" t="s">
        <v>412</v>
      </c>
      <c r="N101" s="123" t="s">
        <v>659</v>
      </c>
    </row>
    <row r="102" spans="1:14" ht="18.75" customHeight="1" x14ac:dyDescent="0.25">
      <c r="A102" s="122">
        <v>20</v>
      </c>
      <c r="B102" s="123" t="s">
        <v>155</v>
      </c>
      <c r="C102" s="123" t="s">
        <v>143</v>
      </c>
      <c r="D102" s="123" t="s">
        <v>154</v>
      </c>
      <c r="E102" s="124" t="s">
        <v>104</v>
      </c>
      <c r="F102" s="123"/>
      <c r="G102" s="123" t="s">
        <v>438</v>
      </c>
      <c r="H102" s="123" t="s">
        <v>439</v>
      </c>
      <c r="I102" s="123" t="s">
        <v>440</v>
      </c>
      <c r="J102" s="209">
        <v>45</v>
      </c>
      <c r="K102" s="123" t="s">
        <v>36</v>
      </c>
      <c r="L102" s="123" t="s">
        <v>668</v>
      </c>
      <c r="M102" s="123" t="s">
        <v>104</v>
      </c>
      <c r="N102" s="123" t="s">
        <v>657</v>
      </c>
    </row>
    <row r="103" spans="1:14" ht="18.75" customHeight="1" x14ac:dyDescent="0.25">
      <c r="A103" s="122">
        <v>21</v>
      </c>
      <c r="B103" s="123" t="s">
        <v>155</v>
      </c>
      <c r="C103" s="123" t="s">
        <v>143</v>
      </c>
      <c r="D103" s="123" t="s">
        <v>154</v>
      </c>
      <c r="E103" s="124" t="s">
        <v>104</v>
      </c>
      <c r="F103" s="123"/>
      <c r="G103" s="123" t="s">
        <v>442</v>
      </c>
      <c r="H103" s="123" t="s">
        <v>443</v>
      </c>
      <c r="I103" s="123" t="s">
        <v>381</v>
      </c>
      <c r="J103" s="209">
        <v>37</v>
      </c>
      <c r="K103" s="123" t="s">
        <v>480</v>
      </c>
      <c r="L103" s="123" t="s">
        <v>658</v>
      </c>
      <c r="M103" s="123" t="s">
        <v>412</v>
      </c>
      <c r="N103" s="123" t="s">
        <v>659</v>
      </c>
    </row>
    <row r="104" spans="1:14" ht="18.75" customHeight="1" x14ac:dyDescent="0.25">
      <c r="A104" s="122">
        <v>22</v>
      </c>
      <c r="B104" s="123" t="s">
        <v>155</v>
      </c>
      <c r="C104" s="123" t="s">
        <v>143</v>
      </c>
      <c r="D104" s="123" t="s">
        <v>154</v>
      </c>
      <c r="E104" s="124" t="s">
        <v>104</v>
      </c>
      <c r="F104" s="123"/>
      <c r="G104" s="123" t="s">
        <v>445</v>
      </c>
      <c r="H104" s="123" t="s">
        <v>446</v>
      </c>
      <c r="I104" s="123" t="s">
        <v>372</v>
      </c>
      <c r="J104" s="209">
        <v>41</v>
      </c>
      <c r="K104" s="123" t="s">
        <v>36</v>
      </c>
      <c r="L104" s="123" t="s">
        <v>669</v>
      </c>
      <c r="M104" s="123" t="s">
        <v>104</v>
      </c>
      <c r="N104" s="123" t="s">
        <v>657</v>
      </c>
    </row>
    <row r="105" spans="1:14" ht="18.75" customHeight="1" x14ac:dyDescent="0.25">
      <c r="A105" s="122">
        <v>23</v>
      </c>
      <c r="B105" s="123" t="s">
        <v>155</v>
      </c>
      <c r="C105" s="123" t="s">
        <v>143</v>
      </c>
      <c r="D105" s="123" t="s">
        <v>154</v>
      </c>
      <c r="E105" s="124" t="s">
        <v>104</v>
      </c>
      <c r="F105" s="123"/>
      <c r="G105" s="123" t="s">
        <v>449</v>
      </c>
      <c r="H105" s="123" t="s">
        <v>450</v>
      </c>
      <c r="I105" s="123" t="s">
        <v>451</v>
      </c>
      <c r="J105" s="209">
        <v>43</v>
      </c>
      <c r="K105" s="123" t="s">
        <v>36</v>
      </c>
      <c r="L105" s="123" t="s">
        <v>670</v>
      </c>
      <c r="M105" s="123" t="s">
        <v>104</v>
      </c>
      <c r="N105" s="123" t="s">
        <v>657</v>
      </c>
    </row>
    <row r="106" spans="1:14" ht="18.75" customHeight="1" x14ac:dyDescent="0.25">
      <c r="A106" s="122">
        <v>24</v>
      </c>
      <c r="B106" s="123" t="s">
        <v>155</v>
      </c>
      <c r="C106" s="123" t="s">
        <v>143</v>
      </c>
      <c r="D106" s="123" t="s">
        <v>154</v>
      </c>
      <c r="E106" s="124" t="s">
        <v>104</v>
      </c>
      <c r="F106" s="123"/>
      <c r="G106" s="123" t="s">
        <v>453</v>
      </c>
      <c r="H106" s="123" t="s">
        <v>454</v>
      </c>
      <c r="I106" s="123" t="s">
        <v>455</v>
      </c>
      <c r="J106" s="209">
        <v>50</v>
      </c>
      <c r="K106" s="123" t="s">
        <v>480</v>
      </c>
      <c r="L106" s="123" t="s">
        <v>658</v>
      </c>
      <c r="M106" s="123" t="s">
        <v>412</v>
      </c>
      <c r="N106" s="123" t="s">
        <v>659</v>
      </c>
    </row>
    <row r="107" spans="1:14" ht="18.75" customHeight="1" x14ac:dyDescent="0.25">
      <c r="A107" s="122">
        <v>25</v>
      </c>
      <c r="B107" s="123" t="s">
        <v>155</v>
      </c>
      <c r="C107" s="123" t="s">
        <v>143</v>
      </c>
      <c r="D107" s="123" t="s">
        <v>154</v>
      </c>
      <c r="E107" s="124" t="s">
        <v>104</v>
      </c>
      <c r="F107" s="123"/>
      <c r="G107" s="123" t="s">
        <v>457</v>
      </c>
      <c r="H107" s="123" t="s">
        <v>458</v>
      </c>
      <c r="I107" s="123" t="s">
        <v>459</v>
      </c>
      <c r="J107" s="209">
        <v>43</v>
      </c>
      <c r="K107" s="123" t="s">
        <v>36</v>
      </c>
      <c r="L107" s="123" t="s">
        <v>671</v>
      </c>
      <c r="M107" s="123" t="s">
        <v>104</v>
      </c>
      <c r="N107" s="123" t="s">
        <v>657</v>
      </c>
    </row>
    <row r="108" spans="1:14" ht="18.75" customHeight="1" x14ac:dyDescent="0.25">
      <c r="A108" s="122" t="s">
        <v>718</v>
      </c>
      <c r="B108" s="123" t="s">
        <v>155</v>
      </c>
      <c r="C108" s="123" t="s">
        <v>143</v>
      </c>
      <c r="D108" s="123" t="s">
        <v>154</v>
      </c>
      <c r="E108" s="124" t="s">
        <v>104</v>
      </c>
      <c r="F108" s="123"/>
      <c r="G108" s="123" t="s">
        <v>678</v>
      </c>
      <c r="H108" s="123" t="s">
        <v>450</v>
      </c>
      <c r="I108" s="123" t="s">
        <v>377</v>
      </c>
      <c r="J108" s="209">
        <v>43</v>
      </c>
      <c r="K108" s="123"/>
      <c r="L108" s="123"/>
      <c r="M108" s="123"/>
      <c r="N108" s="123"/>
    </row>
    <row r="109" spans="1:14" ht="18.75" customHeight="1" x14ac:dyDescent="0.25">
      <c r="A109" s="122">
        <v>1</v>
      </c>
      <c r="B109" s="123" t="s">
        <v>156</v>
      </c>
      <c r="C109" s="123" t="s">
        <v>157</v>
      </c>
      <c r="D109" s="123" t="s">
        <v>158</v>
      </c>
      <c r="E109" s="124" t="s">
        <v>104</v>
      </c>
      <c r="F109" s="123"/>
      <c r="G109" s="123" t="s">
        <v>353</v>
      </c>
      <c r="H109" s="123" t="s">
        <v>354</v>
      </c>
      <c r="I109" s="123" t="s">
        <v>360</v>
      </c>
      <c r="J109" s="209">
        <v>70</v>
      </c>
      <c r="K109" s="123" t="s">
        <v>36</v>
      </c>
      <c r="L109" s="123" t="s">
        <v>656</v>
      </c>
      <c r="M109" s="123" t="s">
        <v>104</v>
      </c>
      <c r="N109" s="123" t="s">
        <v>657</v>
      </c>
    </row>
    <row r="110" spans="1:14" ht="18.75" customHeight="1" x14ac:dyDescent="0.25">
      <c r="A110" s="122">
        <v>2</v>
      </c>
      <c r="B110" s="123" t="s">
        <v>156</v>
      </c>
      <c r="C110" s="123" t="s">
        <v>157</v>
      </c>
      <c r="D110" s="123" t="s">
        <v>158</v>
      </c>
      <c r="E110" s="124" t="s">
        <v>104</v>
      </c>
      <c r="F110" s="123"/>
      <c r="G110" s="123" t="s">
        <v>363</v>
      </c>
      <c r="H110" s="123" t="s">
        <v>364</v>
      </c>
      <c r="I110" s="123" t="s">
        <v>367</v>
      </c>
      <c r="J110" s="209">
        <v>91</v>
      </c>
      <c r="K110" s="123" t="s">
        <v>480</v>
      </c>
      <c r="L110" s="123" t="s">
        <v>658</v>
      </c>
      <c r="M110" s="123" t="s">
        <v>412</v>
      </c>
      <c r="N110" s="123" t="s">
        <v>659</v>
      </c>
    </row>
    <row r="111" spans="1:14" ht="4.5" customHeight="1" x14ac:dyDescent="0.25">
      <c r="A111" s="105">
        <v>3</v>
      </c>
      <c r="B111" s="105" t="s">
        <v>156</v>
      </c>
      <c r="C111" s="105" t="s">
        <v>157</v>
      </c>
      <c r="D111" s="105" t="s">
        <v>158</v>
      </c>
      <c r="E111" s="105" t="s">
        <v>104</v>
      </c>
      <c r="F111" s="105"/>
      <c r="G111" s="105" t="s">
        <v>369</v>
      </c>
      <c r="H111" s="105" t="s">
        <v>370</v>
      </c>
      <c r="I111" s="105" t="s">
        <v>372</v>
      </c>
      <c r="J111" s="201">
        <v>100</v>
      </c>
      <c r="K111" s="105" t="s">
        <v>480</v>
      </c>
      <c r="L111" s="105" t="s">
        <v>658</v>
      </c>
      <c r="M111" s="105" t="s">
        <v>412</v>
      </c>
      <c r="N111" s="105" t="s">
        <v>659</v>
      </c>
    </row>
    <row r="112" spans="1:14" ht="19.5" customHeight="1" x14ac:dyDescent="0.25">
      <c r="A112" s="268" t="s">
        <v>718</v>
      </c>
      <c r="B112" s="260"/>
      <c r="C112" s="260"/>
      <c r="D112" s="260"/>
      <c r="E112" s="260"/>
      <c r="F112" s="260"/>
      <c r="G112" s="260"/>
      <c r="H112" s="260"/>
      <c r="I112" s="260"/>
      <c r="J112" s="260"/>
      <c r="K112" s="260"/>
      <c r="L112" s="260"/>
      <c r="M112" s="260"/>
      <c r="N112" s="261"/>
    </row>
    <row r="113" spans="1:14" ht="18.75" customHeight="1" x14ac:dyDescent="0.25">
      <c r="A113" s="34">
        <v>5</v>
      </c>
      <c r="B113" s="35" t="s">
        <v>156</v>
      </c>
      <c r="C113" s="35" t="s">
        <v>157</v>
      </c>
      <c r="D113" s="35" t="s">
        <v>158</v>
      </c>
      <c r="E113" s="101" t="s">
        <v>104</v>
      </c>
      <c r="F113" s="35"/>
      <c r="G113" s="35" t="s">
        <v>379</v>
      </c>
      <c r="H113" s="35" t="s">
        <v>380</v>
      </c>
      <c r="I113" s="35" t="s">
        <v>381</v>
      </c>
      <c r="J113" s="198">
        <v>53</v>
      </c>
      <c r="K113" s="35" t="s">
        <v>480</v>
      </c>
      <c r="L113" s="35" t="s">
        <v>658</v>
      </c>
      <c r="M113" s="35" t="s">
        <v>412</v>
      </c>
      <c r="N113" s="35" t="s">
        <v>659</v>
      </c>
    </row>
    <row r="114" spans="1:14" ht="18.75" customHeight="1" x14ac:dyDescent="0.25">
      <c r="A114" s="119">
        <v>6</v>
      </c>
      <c r="B114" s="120" t="s">
        <v>156</v>
      </c>
      <c r="C114" s="120" t="s">
        <v>157</v>
      </c>
      <c r="D114" s="120" t="s">
        <v>158</v>
      </c>
      <c r="E114" s="121" t="s">
        <v>104</v>
      </c>
      <c r="F114" s="120"/>
      <c r="G114" s="120" t="s">
        <v>383</v>
      </c>
      <c r="H114" s="120" t="s">
        <v>384</v>
      </c>
      <c r="I114" s="120" t="s">
        <v>385</v>
      </c>
      <c r="J114" s="208">
        <v>87</v>
      </c>
      <c r="K114" s="120" t="s">
        <v>36</v>
      </c>
      <c r="L114" s="120" t="s">
        <v>661</v>
      </c>
      <c r="M114" s="120" t="s">
        <v>104</v>
      </c>
      <c r="N114" s="120" t="s">
        <v>657</v>
      </c>
    </row>
    <row r="115" spans="1:14" ht="18.75" customHeight="1" x14ac:dyDescent="0.25">
      <c r="A115" s="119">
        <v>7</v>
      </c>
      <c r="B115" s="120" t="s">
        <v>156</v>
      </c>
      <c r="C115" s="120" t="s">
        <v>157</v>
      </c>
      <c r="D115" s="120" t="s">
        <v>158</v>
      </c>
      <c r="E115" s="121" t="s">
        <v>104</v>
      </c>
      <c r="F115" s="120"/>
      <c r="G115" s="120" t="s">
        <v>387</v>
      </c>
      <c r="H115" s="120" t="s">
        <v>388</v>
      </c>
      <c r="I115" s="120" t="s">
        <v>389</v>
      </c>
      <c r="J115" s="208">
        <v>85</v>
      </c>
      <c r="K115" s="120" t="s">
        <v>480</v>
      </c>
      <c r="L115" s="120" t="s">
        <v>658</v>
      </c>
      <c r="M115" s="120" t="s">
        <v>412</v>
      </c>
      <c r="N115" s="120" t="s">
        <v>659</v>
      </c>
    </row>
    <row r="116" spans="1:14" ht="18.75" customHeight="1" x14ac:dyDescent="0.25">
      <c r="A116" s="119">
        <v>8</v>
      </c>
      <c r="B116" s="120" t="s">
        <v>156</v>
      </c>
      <c r="C116" s="120" t="s">
        <v>157</v>
      </c>
      <c r="D116" s="120" t="s">
        <v>158</v>
      </c>
      <c r="E116" s="121" t="s">
        <v>104</v>
      </c>
      <c r="F116" s="120"/>
      <c r="G116" s="120" t="s">
        <v>391</v>
      </c>
      <c r="H116" s="120" t="s">
        <v>392</v>
      </c>
      <c r="I116" s="120" t="s">
        <v>393</v>
      </c>
      <c r="J116" s="208">
        <v>60</v>
      </c>
      <c r="K116" s="120" t="s">
        <v>480</v>
      </c>
      <c r="L116" s="120" t="s">
        <v>658</v>
      </c>
      <c r="M116" s="120" t="s">
        <v>412</v>
      </c>
      <c r="N116" s="120" t="s">
        <v>659</v>
      </c>
    </row>
    <row r="117" spans="1:14" ht="18.75" customHeight="1" x14ac:dyDescent="0.25">
      <c r="A117" s="119">
        <v>9</v>
      </c>
      <c r="B117" s="120" t="s">
        <v>156</v>
      </c>
      <c r="C117" s="120" t="s">
        <v>157</v>
      </c>
      <c r="D117" s="120" t="s">
        <v>158</v>
      </c>
      <c r="E117" s="121" t="s">
        <v>104</v>
      </c>
      <c r="F117" s="120"/>
      <c r="G117" s="120" t="s">
        <v>395</v>
      </c>
      <c r="H117" s="120" t="s">
        <v>396</v>
      </c>
      <c r="I117" s="120" t="s">
        <v>360</v>
      </c>
      <c r="J117" s="208">
        <v>83</v>
      </c>
      <c r="K117" s="120" t="s">
        <v>36</v>
      </c>
      <c r="L117" s="120" t="s">
        <v>662</v>
      </c>
      <c r="M117" s="120" t="s">
        <v>104</v>
      </c>
      <c r="N117" s="120" t="s">
        <v>657</v>
      </c>
    </row>
    <row r="118" spans="1:14" ht="18.75" customHeight="1" x14ac:dyDescent="0.25">
      <c r="A118" s="119">
        <v>10</v>
      </c>
      <c r="B118" s="120" t="s">
        <v>156</v>
      </c>
      <c r="C118" s="120" t="s">
        <v>157</v>
      </c>
      <c r="D118" s="120" t="s">
        <v>158</v>
      </c>
      <c r="E118" s="121" t="s">
        <v>104</v>
      </c>
      <c r="F118" s="120"/>
      <c r="G118" s="120" t="s">
        <v>399</v>
      </c>
      <c r="H118" s="120" t="s">
        <v>400</v>
      </c>
      <c r="I118" s="120" t="s">
        <v>372</v>
      </c>
      <c r="J118" s="208">
        <v>109</v>
      </c>
      <c r="K118" s="120" t="s">
        <v>480</v>
      </c>
      <c r="L118" s="120" t="s">
        <v>658</v>
      </c>
      <c r="M118" s="120" t="s">
        <v>412</v>
      </c>
      <c r="N118" s="120" t="s">
        <v>659</v>
      </c>
    </row>
    <row r="119" spans="1:14" ht="18.75" customHeight="1" x14ac:dyDescent="0.25">
      <c r="A119" s="119">
        <v>11</v>
      </c>
      <c r="B119" s="120" t="s">
        <v>156</v>
      </c>
      <c r="C119" s="120" t="s">
        <v>157</v>
      </c>
      <c r="D119" s="120" t="s">
        <v>158</v>
      </c>
      <c r="E119" s="121" t="s">
        <v>104</v>
      </c>
      <c r="F119" s="120"/>
      <c r="G119" s="120" t="s">
        <v>402</v>
      </c>
      <c r="H119" s="120" t="s">
        <v>403</v>
      </c>
      <c r="I119" s="120" t="s">
        <v>404</v>
      </c>
      <c r="J119" s="208">
        <v>84</v>
      </c>
      <c r="K119" s="120" t="s">
        <v>36</v>
      </c>
      <c r="L119" s="120" t="s">
        <v>663</v>
      </c>
      <c r="M119" s="120" t="s">
        <v>104</v>
      </c>
      <c r="N119" s="120" t="s">
        <v>657</v>
      </c>
    </row>
    <row r="120" spans="1:14" ht="18.75" customHeight="1" x14ac:dyDescent="0.25">
      <c r="A120" s="119">
        <v>12</v>
      </c>
      <c r="B120" s="120" t="s">
        <v>156</v>
      </c>
      <c r="C120" s="120" t="s">
        <v>157</v>
      </c>
      <c r="D120" s="120" t="s">
        <v>158</v>
      </c>
      <c r="E120" s="121" t="s">
        <v>104</v>
      </c>
      <c r="F120" s="120"/>
      <c r="G120" s="120" t="s">
        <v>406</v>
      </c>
      <c r="H120" s="120" t="s">
        <v>407</v>
      </c>
      <c r="I120" s="120" t="s">
        <v>367</v>
      </c>
      <c r="J120" s="208">
        <v>97</v>
      </c>
      <c r="K120" s="120" t="s">
        <v>480</v>
      </c>
      <c r="L120" s="120" t="s">
        <v>658</v>
      </c>
      <c r="M120" s="120" t="s">
        <v>412</v>
      </c>
      <c r="N120" s="120" t="s">
        <v>659</v>
      </c>
    </row>
    <row r="121" spans="1:14" ht="18.75" customHeight="1" x14ac:dyDescent="0.25">
      <c r="A121" s="119">
        <v>13</v>
      </c>
      <c r="B121" s="120" t="s">
        <v>156</v>
      </c>
      <c r="C121" s="120" t="s">
        <v>157</v>
      </c>
      <c r="D121" s="120" t="s">
        <v>158</v>
      </c>
      <c r="E121" s="121" t="s">
        <v>104</v>
      </c>
      <c r="F121" s="120"/>
      <c r="G121" s="120" t="s">
        <v>409</v>
      </c>
      <c r="H121" s="120" t="s">
        <v>410</v>
      </c>
      <c r="I121" s="120" t="s">
        <v>360</v>
      </c>
      <c r="J121" s="208">
        <v>86</v>
      </c>
      <c r="K121" s="120" t="s">
        <v>36</v>
      </c>
      <c r="L121" s="120" t="s">
        <v>664</v>
      </c>
      <c r="M121" s="120" t="s">
        <v>104</v>
      </c>
      <c r="N121" s="120" t="s">
        <v>657</v>
      </c>
    </row>
    <row r="122" spans="1:14" ht="18.75" customHeight="1" x14ac:dyDescent="0.25">
      <c r="A122" s="119">
        <v>14</v>
      </c>
      <c r="B122" s="120" t="s">
        <v>156</v>
      </c>
      <c r="C122" s="120" t="s">
        <v>157</v>
      </c>
      <c r="D122" s="120" t="s">
        <v>158</v>
      </c>
      <c r="E122" s="121" t="s">
        <v>104</v>
      </c>
      <c r="F122" s="120"/>
      <c r="G122" s="120" t="s">
        <v>415</v>
      </c>
      <c r="H122" s="120" t="s">
        <v>416</v>
      </c>
      <c r="I122" s="120" t="s">
        <v>385</v>
      </c>
      <c r="J122" s="208">
        <v>96</v>
      </c>
      <c r="K122" s="120" t="s">
        <v>36</v>
      </c>
      <c r="L122" s="120" t="s">
        <v>665</v>
      </c>
      <c r="M122" s="120" t="s">
        <v>104</v>
      </c>
      <c r="N122" s="120" t="s">
        <v>657</v>
      </c>
    </row>
    <row r="123" spans="1:14" ht="18.75" customHeight="1" x14ac:dyDescent="0.25">
      <c r="A123" s="119">
        <v>15</v>
      </c>
      <c r="B123" s="120" t="s">
        <v>156</v>
      </c>
      <c r="C123" s="120" t="s">
        <v>157</v>
      </c>
      <c r="D123" s="120" t="s">
        <v>158</v>
      </c>
      <c r="E123" s="121" t="s">
        <v>104</v>
      </c>
      <c r="F123" s="120"/>
      <c r="G123" s="120" t="s">
        <v>418</v>
      </c>
      <c r="H123" s="120" t="s">
        <v>419</v>
      </c>
      <c r="I123" s="120" t="s">
        <v>421</v>
      </c>
      <c r="J123" s="208">
        <v>82</v>
      </c>
      <c r="K123" s="120" t="s">
        <v>480</v>
      </c>
      <c r="L123" s="120" t="s">
        <v>658</v>
      </c>
      <c r="M123" s="120" t="s">
        <v>412</v>
      </c>
      <c r="N123" s="120" t="s">
        <v>659</v>
      </c>
    </row>
    <row r="124" spans="1:14" ht="18.75" customHeight="1" x14ac:dyDescent="0.25">
      <c r="A124" s="119">
        <v>16</v>
      </c>
      <c r="B124" s="120" t="s">
        <v>156</v>
      </c>
      <c r="C124" s="120" t="s">
        <v>157</v>
      </c>
      <c r="D124" s="120" t="s">
        <v>158</v>
      </c>
      <c r="E124" s="121" t="s">
        <v>104</v>
      </c>
      <c r="F124" s="120"/>
      <c r="G124" s="120" t="s">
        <v>423</v>
      </c>
      <c r="H124" s="120" t="s">
        <v>424</v>
      </c>
      <c r="I124" s="120" t="s">
        <v>425</v>
      </c>
      <c r="J124" s="208">
        <v>115</v>
      </c>
      <c r="K124" s="120" t="s">
        <v>36</v>
      </c>
      <c r="L124" s="120" t="s">
        <v>666</v>
      </c>
      <c r="M124" s="120" t="s">
        <v>104</v>
      </c>
      <c r="N124" s="120" t="s">
        <v>657</v>
      </c>
    </row>
    <row r="125" spans="1:14" ht="18.75" customHeight="1" x14ac:dyDescent="0.25">
      <c r="A125" s="119">
        <v>17</v>
      </c>
      <c r="B125" s="120" t="s">
        <v>156</v>
      </c>
      <c r="C125" s="120" t="s">
        <v>157</v>
      </c>
      <c r="D125" s="120" t="s">
        <v>158</v>
      </c>
      <c r="E125" s="121" t="s">
        <v>104</v>
      </c>
      <c r="F125" s="120"/>
      <c r="G125" s="120" t="s">
        <v>427</v>
      </c>
      <c r="H125" s="120" t="s">
        <v>428</v>
      </c>
      <c r="I125" s="120" t="s">
        <v>429</v>
      </c>
      <c r="J125" s="208">
        <v>61</v>
      </c>
      <c r="K125" s="120" t="s">
        <v>480</v>
      </c>
      <c r="L125" s="120" t="s">
        <v>658</v>
      </c>
      <c r="M125" s="120" t="s">
        <v>412</v>
      </c>
      <c r="N125" s="120" t="s">
        <v>659</v>
      </c>
    </row>
    <row r="126" spans="1:14" ht="18.75" customHeight="1" x14ac:dyDescent="0.25">
      <c r="A126" s="119">
        <v>18</v>
      </c>
      <c r="B126" s="120" t="s">
        <v>156</v>
      </c>
      <c r="C126" s="120" t="s">
        <v>157</v>
      </c>
      <c r="D126" s="120" t="s">
        <v>158</v>
      </c>
      <c r="E126" s="121" t="s">
        <v>104</v>
      </c>
      <c r="F126" s="120"/>
      <c r="G126" s="120" t="s">
        <v>431</v>
      </c>
      <c r="H126" s="120" t="s">
        <v>432</v>
      </c>
      <c r="I126" s="120" t="s">
        <v>360</v>
      </c>
      <c r="J126" s="208">
        <v>69</v>
      </c>
      <c r="K126" s="120" t="s">
        <v>36</v>
      </c>
      <c r="L126" s="120" t="s">
        <v>667</v>
      </c>
      <c r="M126" s="120" t="s">
        <v>104</v>
      </c>
      <c r="N126" s="120" t="s">
        <v>657</v>
      </c>
    </row>
    <row r="127" spans="1:14" ht="18.75" customHeight="1" x14ac:dyDescent="0.25">
      <c r="A127" s="119">
        <v>19</v>
      </c>
      <c r="B127" s="120" t="s">
        <v>156</v>
      </c>
      <c r="C127" s="120" t="s">
        <v>157</v>
      </c>
      <c r="D127" s="120" t="s">
        <v>158</v>
      </c>
      <c r="E127" s="121" t="s">
        <v>104</v>
      </c>
      <c r="F127" s="120"/>
      <c r="G127" s="120" t="s">
        <v>434</v>
      </c>
      <c r="H127" s="120" t="s">
        <v>435</v>
      </c>
      <c r="I127" s="120" t="s">
        <v>436</v>
      </c>
      <c r="J127" s="208">
        <v>98</v>
      </c>
      <c r="K127" s="120" t="s">
        <v>480</v>
      </c>
      <c r="L127" s="120" t="s">
        <v>658</v>
      </c>
      <c r="M127" s="120" t="s">
        <v>412</v>
      </c>
      <c r="N127" s="120" t="s">
        <v>659</v>
      </c>
    </row>
    <row r="128" spans="1:14" ht="18.75" customHeight="1" x14ac:dyDescent="0.25">
      <c r="A128" s="119">
        <v>20</v>
      </c>
      <c r="B128" s="120" t="s">
        <v>156</v>
      </c>
      <c r="C128" s="120" t="s">
        <v>157</v>
      </c>
      <c r="D128" s="120" t="s">
        <v>158</v>
      </c>
      <c r="E128" s="121" t="s">
        <v>104</v>
      </c>
      <c r="F128" s="120"/>
      <c r="G128" s="120" t="s">
        <v>438</v>
      </c>
      <c r="H128" s="120" t="s">
        <v>439</v>
      </c>
      <c r="I128" s="120" t="s">
        <v>440</v>
      </c>
      <c r="J128" s="208">
        <v>93</v>
      </c>
      <c r="K128" s="120" t="s">
        <v>36</v>
      </c>
      <c r="L128" s="120" t="s">
        <v>668</v>
      </c>
      <c r="M128" s="120" t="s">
        <v>104</v>
      </c>
      <c r="N128" s="120" t="s">
        <v>657</v>
      </c>
    </row>
    <row r="129" spans="1:14" ht="18.75" customHeight="1" x14ac:dyDescent="0.25">
      <c r="A129" s="119">
        <v>21</v>
      </c>
      <c r="B129" s="120" t="s">
        <v>156</v>
      </c>
      <c r="C129" s="120" t="s">
        <v>157</v>
      </c>
      <c r="D129" s="120" t="s">
        <v>158</v>
      </c>
      <c r="E129" s="121" t="s">
        <v>104</v>
      </c>
      <c r="F129" s="120"/>
      <c r="G129" s="120" t="s">
        <v>442</v>
      </c>
      <c r="H129" s="120" t="s">
        <v>443</v>
      </c>
      <c r="I129" s="120" t="s">
        <v>381</v>
      </c>
      <c r="J129" s="208">
        <v>67</v>
      </c>
      <c r="K129" s="120" t="s">
        <v>480</v>
      </c>
      <c r="L129" s="120" t="s">
        <v>658</v>
      </c>
      <c r="M129" s="120" t="s">
        <v>412</v>
      </c>
      <c r="N129" s="120" t="s">
        <v>659</v>
      </c>
    </row>
    <row r="130" spans="1:14" ht="18.75" customHeight="1" x14ac:dyDescent="0.25">
      <c r="A130" s="119">
        <v>22</v>
      </c>
      <c r="B130" s="120" t="s">
        <v>156</v>
      </c>
      <c r="C130" s="120" t="s">
        <v>157</v>
      </c>
      <c r="D130" s="120" t="s">
        <v>158</v>
      </c>
      <c r="E130" s="121" t="s">
        <v>104</v>
      </c>
      <c r="F130" s="120"/>
      <c r="G130" s="120" t="s">
        <v>445</v>
      </c>
      <c r="H130" s="120" t="s">
        <v>446</v>
      </c>
      <c r="I130" s="120" t="s">
        <v>372</v>
      </c>
      <c r="J130" s="208">
        <v>117</v>
      </c>
      <c r="K130" s="120" t="s">
        <v>36</v>
      </c>
      <c r="L130" s="120" t="s">
        <v>669</v>
      </c>
      <c r="M130" s="120" t="s">
        <v>104</v>
      </c>
      <c r="N130" s="120" t="s">
        <v>657</v>
      </c>
    </row>
    <row r="131" spans="1:14" ht="18.75" customHeight="1" x14ac:dyDescent="0.25">
      <c r="A131" s="119">
        <v>23</v>
      </c>
      <c r="B131" s="120" t="s">
        <v>156</v>
      </c>
      <c r="C131" s="120" t="s">
        <v>157</v>
      </c>
      <c r="D131" s="120" t="s">
        <v>158</v>
      </c>
      <c r="E131" s="121" t="s">
        <v>104</v>
      </c>
      <c r="F131" s="120"/>
      <c r="G131" s="120" t="s">
        <v>449</v>
      </c>
      <c r="H131" s="120" t="s">
        <v>450</v>
      </c>
      <c r="I131" s="120" t="s">
        <v>451</v>
      </c>
      <c r="J131" s="208">
        <v>83</v>
      </c>
      <c r="K131" s="120" t="s">
        <v>36</v>
      </c>
      <c r="L131" s="120" t="s">
        <v>670</v>
      </c>
      <c r="M131" s="120" t="s">
        <v>104</v>
      </c>
      <c r="N131" s="120" t="s">
        <v>657</v>
      </c>
    </row>
    <row r="132" spans="1:14" ht="18.75" customHeight="1" x14ac:dyDescent="0.25">
      <c r="A132" s="119">
        <v>24</v>
      </c>
      <c r="B132" s="120" t="s">
        <v>156</v>
      </c>
      <c r="C132" s="120" t="s">
        <v>157</v>
      </c>
      <c r="D132" s="120" t="s">
        <v>158</v>
      </c>
      <c r="E132" s="121" t="s">
        <v>104</v>
      </c>
      <c r="F132" s="120"/>
      <c r="G132" s="120" t="s">
        <v>453</v>
      </c>
      <c r="H132" s="120" t="s">
        <v>454</v>
      </c>
      <c r="I132" s="120" t="s">
        <v>455</v>
      </c>
      <c r="J132" s="208">
        <v>96</v>
      </c>
      <c r="K132" s="120" t="s">
        <v>480</v>
      </c>
      <c r="L132" s="120" t="s">
        <v>658</v>
      </c>
      <c r="M132" s="120" t="s">
        <v>412</v>
      </c>
      <c r="N132" s="120" t="s">
        <v>659</v>
      </c>
    </row>
    <row r="133" spans="1:14" ht="18.75" customHeight="1" x14ac:dyDescent="0.25">
      <c r="A133" s="119">
        <v>25</v>
      </c>
      <c r="B133" s="120" t="s">
        <v>156</v>
      </c>
      <c r="C133" s="120" t="s">
        <v>157</v>
      </c>
      <c r="D133" s="120" t="s">
        <v>158</v>
      </c>
      <c r="E133" s="121" t="s">
        <v>104</v>
      </c>
      <c r="F133" s="120"/>
      <c r="G133" s="120" t="s">
        <v>457</v>
      </c>
      <c r="H133" s="120" t="s">
        <v>458</v>
      </c>
      <c r="I133" s="120" t="s">
        <v>459</v>
      </c>
      <c r="J133" s="208">
        <v>115</v>
      </c>
      <c r="K133" s="120" t="s">
        <v>36</v>
      </c>
      <c r="L133" s="120" t="s">
        <v>671</v>
      </c>
      <c r="M133" s="120" t="s">
        <v>104</v>
      </c>
      <c r="N133" s="120" t="s">
        <v>657</v>
      </c>
    </row>
    <row r="134" spans="1:14" ht="18.75" customHeight="1" x14ac:dyDescent="0.25">
      <c r="A134" s="119" t="s">
        <v>719</v>
      </c>
      <c r="B134" s="120" t="s">
        <v>156</v>
      </c>
      <c r="C134" s="120" t="s">
        <v>157</v>
      </c>
      <c r="D134" s="120" t="s">
        <v>158</v>
      </c>
      <c r="E134" s="121" t="s">
        <v>104</v>
      </c>
      <c r="F134" s="120"/>
      <c r="G134" s="120" t="s">
        <v>680</v>
      </c>
      <c r="H134" s="120" t="s">
        <v>446</v>
      </c>
      <c r="I134" s="120" t="s">
        <v>389</v>
      </c>
      <c r="J134" s="208">
        <v>45</v>
      </c>
      <c r="K134" s="120"/>
      <c r="L134" s="120"/>
      <c r="M134" s="120"/>
      <c r="N134" s="120"/>
    </row>
    <row r="135" spans="1:14" ht="18.75" customHeight="1" x14ac:dyDescent="0.25">
      <c r="A135" s="119">
        <v>1</v>
      </c>
      <c r="B135" s="120" t="s">
        <v>159</v>
      </c>
      <c r="C135" s="120" t="s">
        <v>160</v>
      </c>
      <c r="D135" s="120" t="s">
        <v>161</v>
      </c>
      <c r="E135" s="121" t="s">
        <v>104</v>
      </c>
      <c r="F135" s="120"/>
      <c r="G135" s="120" t="s">
        <v>353</v>
      </c>
      <c r="H135" s="120" t="s">
        <v>354</v>
      </c>
      <c r="I135" s="120" t="s">
        <v>360</v>
      </c>
      <c r="J135" s="208">
        <v>24</v>
      </c>
      <c r="K135" s="120" t="s">
        <v>36</v>
      </c>
      <c r="L135" s="120" t="s">
        <v>656</v>
      </c>
      <c r="M135" s="120" t="s">
        <v>104</v>
      </c>
      <c r="N135" s="120" t="s">
        <v>657</v>
      </c>
    </row>
    <row r="136" spans="1:14" ht="18.75" customHeight="1" x14ac:dyDescent="0.25">
      <c r="A136" s="119">
        <v>2</v>
      </c>
      <c r="B136" s="120" t="s">
        <v>159</v>
      </c>
      <c r="C136" s="120" t="s">
        <v>160</v>
      </c>
      <c r="D136" s="120" t="s">
        <v>161</v>
      </c>
      <c r="E136" s="121" t="s">
        <v>104</v>
      </c>
      <c r="F136" s="120"/>
      <c r="G136" s="120" t="s">
        <v>363</v>
      </c>
      <c r="H136" s="120" t="s">
        <v>364</v>
      </c>
      <c r="I136" s="120" t="s">
        <v>367</v>
      </c>
      <c r="J136" s="208">
        <v>24</v>
      </c>
      <c r="K136" s="120" t="s">
        <v>480</v>
      </c>
      <c r="L136" s="120" t="s">
        <v>658</v>
      </c>
      <c r="M136" s="120" t="s">
        <v>412</v>
      </c>
      <c r="N136" s="120" t="s">
        <v>659</v>
      </c>
    </row>
    <row r="137" spans="1:14" ht="18.75" customHeight="1" x14ac:dyDescent="0.25">
      <c r="A137" s="119">
        <v>3</v>
      </c>
      <c r="B137" s="120" t="s">
        <v>159</v>
      </c>
      <c r="C137" s="120" t="s">
        <v>160</v>
      </c>
      <c r="D137" s="120" t="s">
        <v>161</v>
      </c>
      <c r="E137" s="121" t="s">
        <v>104</v>
      </c>
      <c r="F137" s="120"/>
      <c r="G137" s="120" t="s">
        <v>369</v>
      </c>
      <c r="H137" s="120" t="s">
        <v>370</v>
      </c>
      <c r="I137" s="120" t="s">
        <v>372</v>
      </c>
      <c r="J137" s="208">
        <v>21</v>
      </c>
      <c r="K137" s="120" t="s">
        <v>480</v>
      </c>
      <c r="L137" s="120" t="s">
        <v>658</v>
      </c>
      <c r="M137" s="120" t="s">
        <v>412</v>
      </c>
      <c r="N137" s="120" t="s">
        <v>659</v>
      </c>
    </row>
    <row r="138" spans="1:14" ht="4.5" customHeight="1" x14ac:dyDescent="0.25">
      <c r="A138" s="105">
        <v>4</v>
      </c>
      <c r="B138" s="105" t="s">
        <v>159</v>
      </c>
      <c r="C138" s="105" t="s">
        <v>160</v>
      </c>
      <c r="D138" s="105" t="s">
        <v>161</v>
      </c>
      <c r="E138" s="105" t="s">
        <v>104</v>
      </c>
      <c r="F138" s="105"/>
      <c r="G138" s="105" t="s">
        <v>374</v>
      </c>
      <c r="H138" s="105" t="s">
        <v>375</v>
      </c>
      <c r="I138" s="105" t="s">
        <v>377</v>
      </c>
      <c r="J138" s="201">
        <v>28</v>
      </c>
      <c r="K138" s="105" t="s">
        <v>36</v>
      </c>
      <c r="L138" s="105" t="s">
        <v>660</v>
      </c>
      <c r="M138" s="105" t="s">
        <v>104</v>
      </c>
      <c r="N138" s="105" t="s">
        <v>657</v>
      </c>
    </row>
    <row r="139" spans="1:14" ht="19.5" customHeight="1" x14ac:dyDescent="0.25">
      <c r="A139" s="268" t="s">
        <v>719</v>
      </c>
      <c r="B139" s="260"/>
      <c r="C139" s="260"/>
      <c r="D139" s="260"/>
      <c r="E139" s="260"/>
      <c r="F139" s="260"/>
      <c r="G139" s="260"/>
      <c r="H139" s="260"/>
      <c r="I139" s="260"/>
      <c r="J139" s="260"/>
      <c r="K139" s="260"/>
      <c r="L139" s="260"/>
      <c r="M139" s="260"/>
      <c r="N139" s="261"/>
    </row>
    <row r="140" spans="1:14" ht="18.75" customHeight="1" x14ac:dyDescent="0.25">
      <c r="A140" s="34">
        <v>6</v>
      </c>
      <c r="B140" s="35" t="s">
        <v>159</v>
      </c>
      <c r="C140" s="35" t="s">
        <v>160</v>
      </c>
      <c r="D140" s="35" t="s">
        <v>161</v>
      </c>
      <c r="E140" s="101" t="s">
        <v>104</v>
      </c>
      <c r="F140" s="35"/>
      <c r="G140" s="35" t="s">
        <v>383</v>
      </c>
      <c r="H140" s="35" t="s">
        <v>384</v>
      </c>
      <c r="I140" s="35" t="s">
        <v>385</v>
      </c>
      <c r="J140" s="198">
        <v>40</v>
      </c>
      <c r="K140" s="35" t="s">
        <v>36</v>
      </c>
      <c r="L140" s="35" t="s">
        <v>661</v>
      </c>
      <c r="M140" s="35" t="s">
        <v>104</v>
      </c>
      <c r="N140" s="35" t="s">
        <v>657</v>
      </c>
    </row>
    <row r="141" spans="1:14" ht="18.75" customHeight="1" x14ac:dyDescent="0.25">
      <c r="A141" s="122">
        <v>7</v>
      </c>
      <c r="B141" s="123" t="s">
        <v>159</v>
      </c>
      <c r="C141" s="123" t="s">
        <v>160</v>
      </c>
      <c r="D141" s="123" t="s">
        <v>161</v>
      </c>
      <c r="E141" s="124" t="s">
        <v>104</v>
      </c>
      <c r="F141" s="123"/>
      <c r="G141" s="123" t="s">
        <v>387</v>
      </c>
      <c r="H141" s="123" t="s">
        <v>388</v>
      </c>
      <c r="I141" s="123" t="s">
        <v>389</v>
      </c>
      <c r="J141" s="209">
        <v>33</v>
      </c>
      <c r="K141" s="123" t="s">
        <v>480</v>
      </c>
      <c r="L141" s="123" t="s">
        <v>658</v>
      </c>
      <c r="M141" s="123" t="s">
        <v>412</v>
      </c>
      <c r="N141" s="123" t="s">
        <v>659</v>
      </c>
    </row>
    <row r="142" spans="1:14" ht="18.75" customHeight="1" x14ac:dyDescent="0.25">
      <c r="A142" s="122">
        <v>8</v>
      </c>
      <c r="B142" s="123" t="s">
        <v>159</v>
      </c>
      <c r="C142" s="123" t="s">
        <v>160</v>
      </c>
      <c r="D142" s="123" t="s">
        <v>161</v>
      </c>
      <c r="E142" s="124" t="s">
        <v>104</v>
      </c>
      <c r="F142" s="123"/>
      <c r="G142" s="123" t="s">
        <v>391</v>
      </c>
      <c r="H142" s="123" t="s">
        <v>392</v>
      </c>
      <c r="I142" s="123" t="s">
        <v>393</v>
      </c>
      <c r="J142" s="209">
        <v>34</v>
      </c>
      <c r="K142" s="123" t="s">
        <v>480</v>
      </c>
      <c r="L142" s="123" t="s">
        <v>658</v>
      </c>
      <c r="M142" s="123" t="s">
        <v>412</v>
      </c>
      <c r="N142" s="123" t="s">
        <v>659</v>
      </c>
    </row>
    <row r="143" spans="1:14" ht="18.75" customHeight="1" x14ac:dyDescent="0.25">
      <c r="A143" s="122">
        <v>9</v>
      </c>
      <c r="B143" s="123" t="s">
        <v>159</v>
      </c>
      <c r="C143" s="123" t="s">
        <v>160</v>
      </c>
      <c r="D143" s="123" t="s">
        <v>161</v>
      </c>
      <c r="E143" s="124" t="s">
        <v>104</v>
      </c>
      <c r="F143" s="123"/>
      <c r="G143" s="123" t="s">
        <v>395</v>
      </c>
      <c r="H143" s="123" t="s">
        <v>396</v>
      </c>
      <c r="I143" s="123" t="s">
        <v>360</v>
      </c>
      <c r="J143" s="209">
        <v>35</v>
      </c>
      <c r="K143" s="123" t="s">
        <v>36</v>
      </c>
      <c r="L143" s="123" t="s">
        <v>662</v>
      </c>
      <c r="M143" s="123" t="s">
        <v>104</v>
      </c>
      <c r="N143" s="123" t="s">
        <v>657</v>
      </c>
    </row>
    <row r="144" spans="1:14" ht="18.75" customHeight="1" x14ac:dyDescent="0.25">
      <c r="A144" s="122">
        <v>10</v>
      </c>
      <c r="B144" s="123" t="s">
        <v>159</v>
      </c>
      <c r="C144" s="123" t="s">
        <v>160</v>
      </c>
      <c r="D144" s="123" t="s">
        <v>161</v>
      </c>
      <c r="E144" s="124" t="s">
        <v>104</v>
      </c>
      <c r="F144" s="123"/>
      <c r="G144" s="123" t="s">
        <v>399</v>
      </c>
      <c r="H144" s="123" t="s">
        <v>400</v>
      </c>
      <c r="I144" s="123" t="s">
        <v>372</v>
      </c>
      <c r="J144" s="209">
        <v>25</v>
      </c>
      <c r="K144" s="123" t="s">
        <v>480</v>
      </c>
      <c r="L144" s="123" t="s">
        <v>658</v>
      </c>
      <c r="M144" s="123" t="s">
        <v>412</v>
      </c>
      <c r="N144" s="123" t="s">
        <v>659</v>
      </c>
    </row>
    <row r="145" spans="1:14" ht="18.75" customHeight="1" x14ac:dyDescent="0.25">
      <c r="A145" s="122">
        <v>11</v>
      </c>
      <c r="B145" s="123" t="s">
        <v>159</v>
      </c>
      <c r="C145" s="123" t="s">
        <v>160</v>
      </c>
      <c r="D145" s="123" t="s">
        <v>161</v>
      </c>
      <c r="E145" s="124" t="s">
        <v>104</v>
      </c>
      <c r="F145" s="123"/>
      <c r="G145" s="123" t="s">
        <v>402</v>
      </c>
      <c r="H145" s="123" t="s">
        <v>403</v>
      </c>
      <c r="I145" s="123" t="s">
        <v>404</v>
      </c>
      <c r="J145" s="209">
        <v>29</v>
      </c>
      <c r="K145" s="123" t="s">
        <v>36</v>
      </c>
      <c r="L145" s="123" t="s">
        <v>663</v>
      </c>
      <c r="M145" s="123" t="s">
        <v>104</v>
      </c>
      <c r="N145" s="123" t="s">
        <v>657</v>
      </c>
    </row>
    <row r="146" spans="1:14" ht="18.75" customHeight="1" x14ac:dyDescent="0.25">
      <c r="A146" s="122">
        <v>12</v>
      </c>
      <c r="B146" s="123" t="s">
        <v>159</v>
      </c>
      <c r="C146" s="123" t="s">
        <v>160</v>
      </c>
      <c r="D146" s="123" t="s">
        <v>161</v>
      </c>
      <c r="E146" s="124" t="s">
        <v>104</v>
      </c>
      <c r="F146" s="123"/>
      <c r="G146" s="123" t="s">
        <v>406</v>
      </c>
      <c r="H146" s="123" t="s">
        <v>407</v>
      </c>
      <c r="I146" s="123" t="s">
        <v>367</v>
      </c>
      <c r="J146" s="209">
        <v>29</v>
      </c>
      <c r="K146" s="123" t="s">
        <v>480</v>
      </c>
      <c r="L146" s="123" t="s">
        <v>658</v>
      </c>
      <c r="M146" s="123" t="s">
        <v>412</v>
      </c>
      <c r="N146" s="123" t="s">
        <v>659</v>
      </c>
    </row>
    <row r="147" spans="1:14" ht="18.75" customHeight="1" x14ac:dyDescent="0.25">
      <c r="A147" s="122">
        <v>13</v>
      </c>
      <c r="B147" s="123" t="s">
        <v>159</v>
      </c>
      <c r="C147" s="123" t="s">
        <v>160</v>
      </c>
      <c r="D147" s="123" t="s">
        <v>161</v>
      </c>
      <c r="E147" s="124" t="s">
        <v>104</v>
      </c>
      <c r="F147" s="123"/>
      <c r="G147" s="123" t="s">
        <v>409</v>
      </c>
      <c r="H147" s="123" t="s">
        <v>410</v>
      </c>
      <c r="I147" s="123" t="s">
        <v>360</v>
      </c>
      <c r="J147" s="209">
        <v>29</v>
      </c>
      <c r="K147" s="123" t="s">
        <v>36</v>
      </c>
      <c r="L147" s="123" t="s">
        <v>664</v>
      </c>
      <c r="M147" s="123" t="s">
        <v>104</v>
      </c>
      <c r="N147" s="123" t="s">
        <v>657</v>
      </c>
    </row>
    <row r="148" spans="1:14" ht="18.75" customHeight="1" x14ac:dyDescent="0.25">
      <c r="A148" s="122">
        <v>14</v>
      </c>
      <c r="B148" s="123" t="s">
        <v>159</v>
      </c>
      <c r="C148" s="123" t="s">
        <v>160</v>
      </c>
      <c r="D148" s="123" t="s">
        <v>161</v>
      </c>
      <c r="E148" s="124" t="s">
        <v>104</v>
      </c>
      <c r="F148" s="123"/>
      <c r="G148" s="123" t="s">
        <v>415</v>
      </c>
      <c r="H148" s="123" t="s">
        <v>416</v>
      </c>
      <c r="I148" s="123" t="s">
        <v>385</v>
      </c>
      <c r="J148" s="209">
        <v>36</v>
      </c>
      <c r="K148" s="123" t="s">
        <v>36</v>
      </c>
      <c r="L148" s="123" t="s">
        <v>665</v>
      </c>
      <c r="M148" s="123" t="s">
        <v>104</v>
      </c>
      <c r="N148" s="123" t="s">
        <v>657</v>
      </c>
    </row>
    <row r="149" spans="1:14" ht="18.75" customHeight="1" x14ac:dyDescent="0.25">
      <c r="A149" s="122">
        <v>15</v>
      </c>
      <c r="B149" s="123" t="s">
        <v>159</v>
      </c>
      <c r="C149" s="123" t="s">
        <v>160</v>
      </c>
      <c r="D149" s="123" t="s">
        <v>161</v>
      </c>
      <c r="E149" s="124" t="s">
        <v>104</v>
      </c>
      <c r="F149" s="123"/>
      <c r="G149" s="123" t="s">
        <v>418</v>
      </c>
      <c r="H149" s="123" t="s">
        <v>419</v>
      </c>
      <c r="I149" s="123" t="s">
        <v>421</v>
      </c>
      <c r="J149" s="209">
        <v>21</v>
      </c>
      <c r="K149" s="123" t="s">
        <v>480</v>
      </c>
      <c r="L149" s="123" t="s">
        <v>658</v>
      </c>
      <c r="M149" s="123" t="s">
        <v>412</v>
      </c>
      <c r="N149" s="123" t="s">
        <v>659</v>
      </c>
    </row>
    <row r="150" spans="1:14" ht="18.75" customHeight="1" x14ac:dyDescent="0.25">
      <c r="A150" s="122">
        <v>16</v>
      </c>
      <c r="B150" s="123" t="s">
        <v>159</v>
      </c>
      <c r="C150" s="123" t="s">
        <v>160</v>
      </c>
      <c r="D150" s="123" t="s">
        <v>161</v>
      </c>
      <c r="E150" s="124" t="s">
        <v>104</v>
      </c>
      <c r="F150" s="123"/>
      <c r="G150" s="123" t="s">
        <v>423</v>
      </c>
      <c r="H150" s="123" t="s">
        <v>424</v>
      </c>
      <c r="I150" s="123" t="s">
        <v>425</v>
      </c>
      <c r="J150" s="209">
        <v>31</v>
      </c>
      <c r="K150" s="123" t="s">
        <v>36</v>
      </c>
      <c r="L150" s="123" t="s">
        <v>666</v>
      </c>
      <c r="M150" s="123" t="s">
        <v>104</v>
      </c>
      <c r="N150" s="123" t="s">
        <v>657</v>
      </c>
    </row>
    <row r="151" spans="1:14" ht="18.75" customHeight="1" x14ac:dyDescent="0.25">
      <c r="A151" s="122">
        <v>17</v>
      </c>
      <c r="B151" s="123" t="s">
        <v>159</v>
      </c>
      <c r="C151" s="123" t="s">
        <v>160</v>
      </c>
      <c r="D151" s="123" t="s">
        <v>161</v>
      </c>
      <c r="E151" s="124" t="s">
        <v>104</v>
      </c>
      <c r="F151" s="123"/>
      <c r="G151" s="123" t="s">
        <v>427</v>
      </c>
      <c r="H151" s="123" t="s">
        <v>428</v>
      </c>
      <c r="I151" s="123" t="s">
        <v>429</v>
      </c>
      <c r="J151" s="209">
        <v>30</v>
      </c>
      <c r="K151" s="123" t="s">
        <v>480</v>
      </c>
      <c r="L151" s="123" t="s">
        <v>658</v>
      </c>
      <c r="M151" s="123" t="s">
        <v>412</v>
      </c>
      <c r="N151" s="123" t="s">
        <v>659</v>
      </c>
    </row>
    <row r="152" spans="1:14" ht="18.75" customHeight="1" x14ac:dyDescent="0.25">
      <c r="A152" s="122">
        <v>18</v>
      </c>
      <c r="B152" s="123" t="s">
        <v>159</v>
      </c>
      <c r="C152" s="123" t="s">
        <v>160</v>
      </c>
      <c r="D152" s="123" t="s">
        <v>161</v>
      </c>
      <c r="E152" s="124" t="s">
        <v>104</v>
      </c>
      <c r="F152" s="123"/>
      <c r="G152" s="123" t="s">
        <v>431</v>
      </c>
      <c r="H152" s="123" t="s">
        <v>432</v>
      </c>
      <c r="I152" s="123" t="s">
        <v>360</v>
      </c>
      <c r="J152" s="209">
        <v>40</v>
      </c>
      <c r="K152" s="123" t="s">
        <v>36</v>
      </c>
      <c r="L152" s="123" t="s">
        <v>667</v>
      </c>
      <c r="M152" s="123" t="s">
        <v>104</v>
      </c>
      <c r="N152" s="123" t="s">
        <v>657</v>
      </c>
    </row>
    <row r="153" spans="1:14" ht="18.75" customHeight="1" x14ac:dyDescent="0.25">
      <c r="A153" s="122">
        <v>19</v>
      </c>
      <c r="B153" s="123" t="s">
        <v>159</v>
      </c>
      <c r="C153" s="123" t="s">
        <v>160</v>
      </c>
      <c r="D153" s="123" t="s">
        <v>161</v>
      </c>
      <c r="E153" s="124" t="s">
        <v>104</v>
      </c>
      <c r="F153" s="123"/>
      <c r="G153" s="123" t="s">
        <v>434</v>
      </c>
      <c r="H153" s="123" t="s">
        <v>435</v>
      </c>
      <c r="I153" s="123" t="s">
        <v>436</v>
      </c>
      <c r="J153" s="209">
        <v>43</v>
      </c>
      <c r="K153" s="123" t="s">
        <v>480</v>
      </c>
      <c r="L153" s="123" t="s">
        <v>658</v>
      </c>
      <c r="M153" s="123" t="s">
        <v>412</v>
      </c>
      <c r="N153" s="123" t="s">
        <v>659</v>
      </c>
    </row>
    <row r="154" spans="1:14" ht="18.75" customHeight="1" x14ac:dyDescent="0.25">
      <c r="A154" s="122">
        <v>20</v>
      </c>
      <c r="B154" s="123" t="s">
        <v>159</v>
      </c>
      <c r="C154" s="123" t="s">
        <v>160</v>
      </c>
      <c r="D154" s="123" t="s">
        <v>161</v>
      </c>
      <c r="E154" s="124" t="s">
        <v>104</v>
      </c>
      <c r="F154" s="123"/>
      <c r="G154" s="123" t="s">
        <v>438</v>
      </c>
      <c r="H154" s="123" t="s">
        <v>439</v>
      </c>
      <c r="I154" s="123" t="s">
        <v>440</v>
      </c>
      <c r="J154" s="209">
        <v>45</v>
      </c>
      <c r="K154" s="123" t="s">
        <v>36</v>
      </c>
      <c r="L154" s="123" t="s">
        <v>668</v>
      </c>
      <c r="M154" s="123" t="s">
        <v>104</v>
      </c>
      <c r="N154" s="123" t="s">
        <v>657</v>
      </c>
    </row>
    <row r="155" spans="1:14" ht="18.75" customHeight="1" x14ac:dyDescent="0.25">
      <c r="A155" s="122">
        <v>21</v>
      </c>
      <c r="B155" s="123" t="s">
        <v>159</v>
      </c>
      <c r="C155" s="123" t="s">
        <v>160</v>
      </c>
      <c r="D155" s="123" t="s">
        <v>161</v>
      </c>
      <c r="E155" s="124" t="s">
        <v>104</v>
      </c>
      <c r="F155" s="123"/>
      <c r="G155" s="123" t="s">
        <v>442</v>
      </c>
      <c r="H155" s="123" t="s">
        <v>443</v>
      </c>
      <c r="I155" s="123" t="s">
        <v>381</v>
      </c>
      <c r="J155" s="209">
        <v>40</v>
      </c>
      <c r="K155" s="123" t="s">
        <v>480</v>
      </c>
      <c r="L155" s="123" t="s">
        <v>658</v>
      </c>
      <c r="M155" s="123" t="s">
        <v>412</v>
      </c>
      <c r="N155" s="123" t="s">
        <v>659</v>
      </c>
    </row>
    <row r="156" spans="1:14" ht="18.75" customHeight="1" x14ac:dyDescent="0.25">
      <c r="A156" s="122">
        <v>22</v>
      </c>
      <c r="B156" s="123" t="s">
        <v>159</v>
      </c>
      <c r="C156" s="123" t="s">
        <v>160</v>
      </c>
      <c r="D156" s="123" t="s">
        <v>161</v>
      </c>
      <c r="E156" s="124" t="s">
        <v>104</v>
      </c>
      <c r="F156" s="123"/>
      <c r="G156" s="123" t="s">
        <v>445</v>
      </c>
      <c r="H156" s="123" t="s">
        <v>446</v>
      </c>
      <c r="I156" s="123" t="s">
        <v>372</v>
      </c>
      <c r="J156" s="209">
        <v>38</v>
      </c>
      <c r="K156" s="123" t="s">
        <v>36</v>
      </c>
      <c r="L156" s="123" t="s">
        <v>669</v>
      </c>
      <c r="M156" s="123" t="s">
        <v>104</v>
      </c>
      <c r="N156" s="123" t="s">
        <v>657</v>
      </c>
    </row>
    <row r="157" spans="1:14" ht="18.75" customHeight="1" x14ac:dyDescent="0.25">
      <c r="A157" s="122">
        <v>23</v>
      </c>
      <c r="B157" s="123" t="s">
        <v>159</v>
      </c>
      <c r="C157" s="123" t="s">
        <v>160</v>
      </c>
      <c r="D157" s="123" t="s">
        <v>161</v>
      </c>
      <c r="E157" s="124" t="s">
        <v>104</v>
      </c>
      <c r="F157" s="123"/>
      <c r="G157" s="123" t="s">
        <v>449</v>
      </c>
      <c r="H157" s="123" t="s">
        <v>450</v>
      </c>
      <c r="I157" s="123" t="s">
        <v>451</v>
      </c>
      <c r="J157" s="209">
        <v>20</v>
      </c>
      <c r="K157" s="123" t="s">
        <v>36</v>
      </c>
      <c r="L157" s="123" t="s">
        <v>670</v>
      </c>
      <c r="M157" s="123" t="s">
        <v>104</v>
      </c>
      <c r="N157" s="123" t="s">
        <v>657</v>
      </c>
    </row>
    <row r="158" spans="1:14" ht="18.75" customHeight="1" x14ac:dyDescent="0.25">
      <c r="A158" s="122">
        <v>24</v>
      </c>
      <c r="B158" s="123" t="s">
        <v>159</v>
      </c>
      <c r="C158" s="123" t="s">
        <v>160</v>
      </c>
      <c r="D158" s="123" t="s">
        <v>161</v>
      </c>
      <c r="E158" s="124" t="s">
        <v>104</v>
      </c>
      <c r="F158" s="123"/>
      <c r="G158" s="123" t="s">
        <v>453</v>
      </c>
      <c r="H158" s="123" t="s">
        <v>454</v>
      </c>
      <c r="I158" s="123" t="s">
        <v>455</v>
      </c>
      <c r="J158" s="209">
        <v>36</v>
      </c>
      <c r="K158" s="123" t="s">
        <v>480</v>
      </c>
      <c r="L158" s="123" t="s">
        <v>658</v>
      </c>
      <c r="M158" s="123" t="s">
        <v>412</v>
      </c>
      <c r="N158" s="123" t="s">
        <v>659</v>
      </c>
    </row>
    <row r="159" spans="1:14" ht="18.75" customHeight="1" x14ac:dyDescent="0.25">
      <c r="A159" s="122">
        <v>25</v>
      </c>
      <c r="B159" s="123" t="s">
        <v>159</v>
      </c>
      <c r="C159" s="123" t="s">
        <v>160</v>
      </c>
      <c r="D159" s="123" t="s">
        <v>161</v>
      </c>
      <c r="E159" s="124" t="s">
        <v>104</v>
      </c>
      <c r="F159" s="123"/>
      <c r="G159" s="123" t="s">
        <v>457</v>
      </c>
      <c r="H159" s="123" t="s">
        <v>458</v>
      </c>
      <c r="I159" s="123" t="s">
        <v>459</v>
      </c>
      <c r="J159" s="209">
        <v>17</v>
      </c>
      <c r="K159" s="123" t="s">
        <v>36</v>
      </c>
      <c r="L159" s="123" t="s">
        <v>671</v>
      </c>
      <c r="M159" s="123" t="s">
        <v>104</v>
      </c>
      <c r="N159" s="123" t="s">
        <v>657</v>
      </c>
    </row>
    <row r="160" spans="1:14" ht="18.75" customHeight="1" x14ac:dyDescent="0.25">
      <c r="A160" s="122" t="s">
        <v>720</v>
      </c>
      <c r="B160" s="123" t="s">
        <v>159</v>
      </c>
      <c r="C160" s="123" t="s">
        <v>160</v>
      </c>
      <c r="D160" s="123" t="s">
        <v>161</v>
      </c>
      <c r="E160" s="124" t="s">
        <v>104</v>
      </c>
      <c r="F160" s="123"/>
      <c r="G160" s="123" t="s">
        <v>682</v>
      </c>
      <c r="H160" s="123" t="s">
        <v>443</v>
      </c>
      <c r="I160" s="123" t="s">
        <v>389</v>
      </c>
      <c r="J160" s="209">
        <v>24</v>
      </c>
      <c r="K160" s="123"/>
      <c r="L160" s="123"/>
      <c r="M160" s="123"/>
      <c r="N160" s="123"/>
    </row>
    <row r="161" spans="1:14" ht="18.75" customHeight="1" x14ac:dyDescent="0.25">
      <c r="A161" s="122">
        <v>1</v>
      </c>
      <c r="B161" s="123" t="s">
        <v>162</v>
      </c>
      <c r="C161" s="123" t="s">
        <v>163</v>
      </c>
      <c r="D161" s="123" t="s">
        <v>164</v>
      </c>
      <c r="E161" s="124" t="s">
        <v>121</v>
      </c>
      <c r="F161" s="123"/>
      <c r="G161" s="123" t="s">
        <v>353</v>
      </c>
      <c r="H161" s="123" t="s">
        <v>354</v>
      </c>
      <c r="I161" s="123" t="s">
        <v>360</v>
      </c>
      <c r="J161" s="209">
        <v>26</v>
      </c>
      <c r="K161" s="123" t="s">
        <v>36</v>
      </c>
      <c r="L161" s="123" t="s">
        <v>656</v>
      </c>
      <c r="M161" s="123" t="s">
        <v>121</v>
      </c>
      <c r="N161" s="123" t="s">
        <v>657</v>
      </c>
    </row>
    <row r="162" spans="1:14" ht="18.75" customHeight="1" x14ac:dyDescent="0.25">
      <c r="A162" s="122">
        <v>2</v>
      </c>
      <c r="B162" s="123" t="s">
        <v>162</v>
      </c>
      <c r="C162" s="123" t="s">
        <v>163</v>
      </c>
      <c r="D162" s="123" t="s">
        <v>164</v>
      </c>
      <c r="E162" s="124" t="s">
        <v>121</v>
      </c>
      <c r="F162" s="123"/>
      <c r="G162" s="123" t="s">
        <v>363</v>
      </c>
      <c r="H162" s="123" t="s">
        <v>364</v>
      </c>
      <c r="I162" s="123" t="s">
        <v>367</v>
      </c>
      <c r="J162" s="209">
        <v>30</v>
      </c>
      <c r="K162" s="123" t="s">
        <v>480</v>
      </c>
      <c r="L162" s="123" t="s">
        <v>658</v>
      </c>
      <c r="M162" s="123" t="s">
        <v>412</v>
      </c>
      <c r="N162" s="123" t="s">
        <v>659</v>
      </c>
    </row>
    <row r="163" spans="1:14" ht="18.75" customHeight="1" x14ac:dyDescent="0.25">
      <c r="A163" s="122">
        <v>3</v>
      </c>
      <c r="B163" s="123" t="s">
        <v>162</v>
      </c>
      <c r="C163" s="123" t="s">
        <v>163</v>
      </c>
      <c r="D163" s="123" t="s">
        <v>164</v>
      </c>
      <c r="E163" s="124" t="s">
        <v>121</v>
      </c>
      <c r="F163" s="123"/>
      <c r="G163" s="123" t="s">
        <v>369</v>
      </c>
      <c r="H163" s="123" t="s">
        <v>370</v>
      </c>
      <c r="I163" s="123" t="s">
        <v>372</v>
      </c>
      <c r="J163" s="209">
        <v>29</v>
      </c>
      <c r="K163" s="123" t="s">
        <v>480</v>
      </c>
      <c r="L163" s="123" t="s">
        <v>658</v>
      </c>
      <c r="M163" s="123" t="s">
        <v>412</v>
      </c>
      <c r="N163" s="123" t="s">
        <v>659</v>
      </c>
    </row>
    <row r="164" spans="1:14" ht="18.75" customHeight="1" x14ac:dyDescent="0.25">
      <c r="A164" s="122">
        <v>4</v>
      </c>
      <c r="B164" s="123" t="s">
        <v>162</v>
      </c>
      <c r="C164" s="123" t="s">
        <v>163</v>
      </c>
      <c r="D164" s="123" t="s">
        <v>164</v>
      </c>
      <c r="E164" s="124" t="s">
        <v>121</v>
      </c>
      <c r="F164" s="123"/>
      <c r="G164" s="123" t="s">
        <v>374</v>
      </c>
      <c r="H164" s="123" t="s">
        <v>375</v>
      </c>
      <c r="I164" s="123" t="s">
        <v>377</v>
      </c>
      <c r="J164" s="209">
        <v>20</v>
      </c>
      <c r="K164" s="123" t="s">
        <v>36</v>
      </c>
      <c r="L164" s="123" t="s">
        <v>660</v>
      </c>
      <c r="M164" s="123" t="s">
        <v>121</v>
      </c>
      <c r="N164" s="123" t="s">
        <v>657</v>
      </c>
    </row>
    <row r="165" spans="1:14" ht="4.5" customHeight="1" x14ac:dyDescent="0.25">
      <c r="A165" s="105">
        <v>5</v>
      </c>
      <c r="B165" s="105" t="s">
        <v>162</v>
      </c>
      <c r="C165" s="105" t="s">
        <v>163</v>
      </c>
      <c r="D165" s="105" t="s">
        <v>164</v>
      </c>
      <c r="E165" s="105" t="s">
        <v>121</v>
      </c>
      <c r="F165" s="105"/>
      <c r="G165" s="105" t="s">
        <v>379</v>
      </c>
      <c r="H165" s="105" t="s">
        <v>380</v>
      </c>
      <c r="I165" s="105" t="s">
        <v>381</v>
      </c>
      <c r="J165" s="201">
        <v>12</v>
      </c>
      <c r="K165" s="105" t="s">
        <v>480</v>
      </c>
      <c r="L165" s="105" t="s">
        <v>658</v>
      </c>
      <c r="M165" s="105" t="s">
        <v>412</v>
      </c>
      <c r="N165" s="105" t="s">
        <v>659</v>
      </c>
    </row>
    <row r="166" spans="1:14" ht="19.5" customHeight="1" x14ac:dyDescent="0.25">
      <c r="A166" s="268" t="s">
        <v>720</v>
      </c>
      <c r="B166" s="260"/>
      <c r="C166" s="260"/>
      <c r="D166" s="260"/>
      <c r="E166" s="260"/>
      <c r="F166" s="260"/>
      <c r="G166" s="260"/>
      <c r="H166" s="260"/>
      <c r="I166" s="260"/>
      <c r="J166" s="260"/>
      <c r="K166" s="260"/>
      <c r="L166" s="260"/>
      <c r="M166" s="260"/>
      <c r="N166" s="261"/>
    </row>
    <row r="167" spans="1:14" ht="18.75" customHeight="1" x14ac:dyDescent="0.25">
      <c r="A167" s="34">
        <v>7</v>
      </c>
      <c r="B167" s="35" t="s">
        <v>162</v>
      </c>
      <c r="C167" s="35" t="s">
        <v>163</v>
      </c>
      <c r="D167" s="35" t="s">
        <v>164</v>
      </c>
      <c r="E167" s="109" t="s">
        <v>121</v>
      </c>
      <c r="F167" s="35"/>
      <c r="G167" s="35" t="s">
        <v>387</v>
      </c>
      <c r="H167" s="35" t="s">
        <v>388</v>
      </c>
      <c r="I167" s="35" t="s">
        <v>389</v>
      </c>
      <c r="J167" s="198">
        <v>17</v>
      </c>
      <c r="K167" s="35" t="s">
        <v>480</v>
      </c>
      <c r="L167" s="35" t="s">
        <v>658</v>
      </c>
      <c r="M167" s="35" t="s">
        <v>412</v>
      </c>
      <c r="N167" s="35" t="s">
        <v>659</v>
      </c>
    </row>
    <row r="168" spans="1:14" ht="18.75" customHeight="1" x14ac:dyDescent="0.25">
      <c r="A168" s="119">
        <v>8</v>
      </c>
      <c r="B168" s="120" t="s">
        <v>162</v>
      </c>
      <c r="C168" s="120" t="s">
        <v>163</v>
      </c>
      <c r="D168" s="120" t="s">
        <v>164</v>
      </c>
      <c r="E168" s="125" t="s">
        <v>121</v>
      </c>
      <c r="F168" s="120"/>
      <c r="G168" s="120" t="s">
        <v>391</v>
      </c>
      <c r="H168" s="120" t="s">
        <v>392</v>
      </c>
      <c r="I168" s="120" t="s">
        <v>393</v>
      </c>
      <c r="J168" s="208">
        <v>19</v>
      </c>
      <c r="K168" s="120" t="s">
        <v>480</v>
      </c>
      <c r="L168" s="120" t="s">
        <v>658</v>
      </c>
      <c r="M168" s="120" t="s">
        <v>412</v>
      </c>
      <c r="N168" s="120" t="s">
        <v>659</v>
      </c>
    </row>
    <row r="169" spans="1:14" ht="18.75" customHeight="1" x14ac:dyDescent="0.25">
      <c r="A169" s="119">
        <v>9</v>
      </c>
      <c r="B169" s="120" t="s">
        <v>162</v>
      </c>
      <c r="C169" s="120" t="s">
        <v>163</v>
      </c>
      <c r="D169" s="120" t="s">
        <v>164</v>
      </c>
      <c r="E169" s="125" t="s">
        <v>121</v>
      </c>
      <c r="F169" s="120"/>
      <c r="G169" s="120" t="s">
        <v>395</v>
      </c>
      <c r="H169" s="120" t="s">
        <v>396</v>
      </c>
      <c r="I169" s="120" t="s">
        <v>360</v>
      </c>
      <c r="J169" s="208">
        <v>17</v>
      </c>
      <c r="K169" s="120" t="s">
        <v>36</v>
      </c>
      <c r="L169" s="120" t="s">
        <v>662</v>
      </c>
      <c r="M169" s="120" t="s">
        <v>121</v>
      </c>
      <c r="N169" s="120" t="s">
        <v>657</v>
      </c>
    </row>
    <row r="170" spans="1:14" ht="18.75" customHeight="1" x14ac:dyDescent="0.25">
      <c r="A170" s="119">
        <v>10</v>
      </c>
      <c r="B170" s="120" t="s">
        <v>162</v>
      </c>
      <c r="C170" s="120" t="s">
        <v>163</v>
      </c>
      <c r="D170" s="120" t="s">
        <v>164</v>
      </c>
      <c r="E170" s="125" t="s">
        <v>121</v>
      </c>
      <c r="F170" s="120"/>
      <c r="G170" s="120" t="s">
        <v>399</v>
      </c>
      <c r="H170" s="120" t="s">
        <v>400</v>
      </c>
      <c r="I170" s="120" t="s">
        <v>372</v>
      </c>
      <c r="J170" s="208">
        <v>16</v>
      </c>
      <c r="K170" s="120" t="s">
        <v>480</v>
      </c>
      <c r="L170" s="120" t="s">
        <v>658</v>
      </c>
      <c r="M170" s="120" t="s">
        <v>412</v>
      </c>
      <c r="N170" s="120" t="s">
        <v>659</v>
      </c>
    </row>
    <row r="171" spans="1:14" ht="18.75" customHeight="1" x14ac:dyDescent="0.25">
      <c r="A171" s="119">
        <v>11</v>
      </c>
      <c r="B171" s="120" t="s">
        <v>162</v>
      </c>
      <c r="C171" s="120" t="s">
        <v>163</v>
      </c>
      <c r="D171" s="120" t="s">
        <v>164</v>
      </c>
      <c r="E171" s="125" t="s">
        <v>121</v>
      </c>
      <c r="F171" s="120"/>
      <c r="G171" s="120" t="s">
        <v>402</v>
      </c>
      <c r="H171" s="120" t="s">
        <v>403</v>
      </c>
      <c r="I171" s="120" t="s">
        <v>404</v>
      </c>
      <c r="J171" s="208">
        <v>14</v>
      </c>
      <c r="K171" s="120" t="s">
        <v>36</v>
      </c>
      <c r="L171" s="120" t="s">
        <v>663</v>
      </c>
      <c r="M171" s="120" t="s">
        <v>121</v>
      </c>
      <c r="N171" s="120" t="s">
        <v>657</v>
      </c>
    </row>
    <row r="172" spans="1:14" ht="18.75" customHeight="1" x14ac:dyDescent="0.25">
      <c r="A172" s="119">
        <v>12</v>
      </c>
      <c r="B172" s="120" t="s">
        <v>162</v>
      </c>
      <c r="C172" s="120" t="s">
        <v>163</v>
      </c>
      <c r="D172" s="120" t="s">
        <v>164</v>
      </c>
      <c r="E172" s="125" t="s">
        <v>121</v>
      </c>
      <c r="F172" s="120"/>
      <c r="G172" s="120" t="s">
        <v>406</v>
      </c>
      <c r="H172" s="120" t="s">
        <v>407</v>
      </c>
      <c r="I172" s="120" t="s">
        <v>367</v>
      </c>
      <c r="J172" s="208">
        <v>10</v>
      </c>
      <c r="K172" s="120" t="s">
        <v>480</v>
      </c>
      <c r="L172" s="120" t="s">
        <v>658</v>
      </c>
      <c r="M172" s="120" t="s">
        <v>412</v>
      </c>
      <c r="N172" s="120" t="s">
        <v>659</v>
      </c>
    </row>
    <row r="173" spans="1:14" ht="18.75" customHeight="1" x14ac:dyDescent="0.25">
      <c r="A173" s="119">
        <v>13</v>
      </c>
      <c r="B173" s="120" t="s">
        <v>162</v>
      </c>
      <c r="C173" s="120" t="s">
        <v>163</v>
      </c>
      <c r="D173" s="120" t="s">
        <v>164</v>
      </c>
      <c r="E173" s="125" t="s">
        <v>121</v>
      </c>
      <c r="F173" s="120"/>
      <c r="G173" s="120" t="s">
        <v>409</v>
      </c>
      <c r="H173" s="120" t="s">
        <v>410</v>
      </c>
      <c r="I173" s="120" t="s">
        <v>360</v>
      </c>
      <c r="J173" s="208">
        <v>11</v>
      </c>
      <c r="K173" s="120" t="s">
        <v>36</v>
      </c>
      <c r="L173" s="120" t="s">
        <v>664</v>
      </c>
      <c r="M173" s="120" t="s">
        <v>121</v>
      </c>
      <c r="N173" s="120" t="s">
        <v>657</v>
      </c>
    </row>
    <row r="174" spans="1:14" ht="18.75" customHeight="1" x14ac:dyDescent="0.25">
      <c r="A174" s="119">
        <v>14</v>
      </c>
      <c r="B174" s="120" t="s">
        <v>162</v>
      </c>
      <c r="C174" s="120" t="s">
        <v>163</v>
      </c>
      <c r="D174" s="120" t="s">
        <v>164</v>
      </c>
      <c r="E174" s="125" t="s">
        <v>121</v>
      </c>
      <c r="F174" s="120"/>
      <c r="G174" s="120" t="s">
        <v>415</v>
      </c>
      <c r="H174" s="120" t="s">
        <v>416</v>
      </c>
      <c r="I174" s="120" t="s">
        <v>385</v>
      </c>
      <c r="J174" s="208">
        <v>17</v>
      </c>
      <c r="K174" s="120" t="s">
        <v>36</v>
      </c>
      <c r="L174" s="120" t="s">
        <v>665</v>
      </c>
      <c r="M174" s="120" t="s">
        <v>121</v>
      </c>
      <c r="N174" s="120" t="s">
        <v>657</v>
      </c>
    </row>
    <row r="175" spans="1:14" ht="18.75" customHeight="1" x14ac:dyDescent="0.25">
      <c r="A175" s="119">
        <v>15</v>
      </c>
      <c r="B175" s="120" t="s">
        <v>162</v>
      </c>
      <c r="C175" s="120" t="s">
        <v>163</v>
      </c>
      <c r="D175" s="120" t="s">
        <v>164</v>
      </c>
      <c r="E175" s="125" t="s">
        <v>121</v>
      </c>
      <c r="F175" s="120"/>
      <c r="G175" s="120" t="s">
        <v>418</v>
      </c>
      <c r="H175" s="120" t="s">
        <v>419</v>
      </c>
      <c r="I175" s="120" t="s">
        <v>421</v>
      </c>
      <c r="J175" s="208">
        <v>25</v>
      </c>
      <c r="K175" s="120" t="s">
        <v>480</v>
      </c>
      <c r="L175" s="120" t="s">
        <v>658</v>
      </c>
      <c r="M175" s="120" t="s">
        <v>412</v>
      </c>
      <c r="N175" s="120" t="s">
        <v>659</v>
      </c>
    </row>
    <row r="176" spans="1:14" ht="18.75" customHeight="1" x14ac:dyDescent="0.25">
      <c r="A176" s="119">
        <v>16</v>
      </c>
      <c r="B176" s="120" t="s">
        <v>162</v>
      </c>
      <c r="C176" s="120" t="s">
        <v>163</v>
      </c>
      <c r="D176" s="120" t="s">
        <v>164</v>
      </c>
      <c r="E176" s="125" t="s">
        <v>121</v>
      </c>
      <c r="F176" s="120"/>
      <c r="G176" s="120" t="s">
        <v>423</v>
      </c>
      <c r="H176" s="120" t="s">
        <v>424</v>
      </c>
      <c r="I176" s="120" t="s">
        <v>425</v>
      </c>
      <c r="J176" s="208">
        <v>29</v>
      </c>
      <c r="K176" s="120" t="s">
        <v>36</v>
      </c>
      <c r="L176" s="120" t="s">
        <v>666</v>
      </c>
      <c r="M176" s="120" t="s">
        <v>121</v>
      </c>
      <c r="N176" s="120" t="s">
        <v>657</v>
      </c>
    </row>
    <row r="177" spans="1:14" ht="18.75" customHeight="1" x14ac:dyDescent="0.25">
      <c r="A177" s="119">
        <v>17</v>
      </c>
      <c r="B177" s="120" t="s">
        <v>162</v>
      </c>
      <c r="C177" s="120" t="s">
        <v>163</v>
      </c>
      <c r="D177" s="120" t="s">
        <v>164</v>
      </c>
      <c r="E177" s="125" t="s">
        <v>121</v>
      </c>
      <c r="F177" s="120"/>
      <c r="G177" s="120" t="s">
        <v>427</v>
      </c>
      <c r="H177" s="120" t="s">
        <v>428</v>
      </c>
      <c r="I177" s="120" t="s">
        <v>429</v>
      </c>
      <c r="J177" s="208">
        <v>12</v>
      </c>
      <c r="K177" s="120" t="s">
        <v>480</v>
      </c>
      <c r="L177" s="120" t="s">
        <v>658</v>
      </c>
      <c r="M177" s="120" t="s">
        <v>412</v>
      </c>
      <c r="N177" s="120" t="s">
        <v>659</v>
      </c>
    </row>
    <row r="178" spans="1:14" ht="18.75" customHeight="1" x14ac:dyDescent="0.25">
      <c r="A178" s="119">
        <v>18</v>
      </c>
      <c r="B178" s="120" t="s">
        <v>162</v>
      </c>
      <c r="C178" s="120" t="s">
        <v>163</v>
      </c>
      <c r="D178" s="120" t="s">
        <v>164</v>
      </c>
      <c r="E178" s="125" t="s">
        <v>121</v>
      </c>
      <c r="F178" s="120"/>
      <c r="G178" s="120" t="s">
        <v>431</v>
      </c>
      <c r="H178" s="120" t="s">
        <v>432</v>
      </c>
      <c r="I178" s="120" t="s">
        <v>360</v>
      </c>
      <c r="J178" s="208">
        <v>24</v>
      </c>
      <c r="K178" s="120" t="s">
        <v>36</v>
      </c>
      <c r="L178" s="120" t="s">
        <v>667</v>
      </c>
      <c r="M178" s="120" t="s">
        <v>121</v>
      </c>
      <c r="N178" s="120" t="s">
        <v>657</v>
      </c>
    </row>
    <row r="179" spans="1:14" ht="18.75" customHeight="1" x14ac:dyDescent="0.25">
      <c r="A179" s="119">
        <v>19</v>
      </c>
      <c r="B179" s="120" t="s">
        <v>162</v>
      </c>
      <c r="C179" s="120" t="s">
        <v>163</v>
      </c>
      <c r="D179" s="120" t="s">
        <v>164</v>
      </c>
      <c r="E179" s="125" t="s">
        <v>121</v>
      </c>
      <c r="F179" s="120"/>
      <c r="G179" s="120" t="s">
        <v>434</v>
      </c>
      <c r="H179" s="120" t="s">
        <v>435</v>
      </c>
      <c r="I179" s="120" t="s">
        <v>436</v>
      </c>
      <c r="J179" s="208">
        <v>23</v>
      </c>
      <c r="K179" s="120" t="s">
        <v>480</v>
      </c>
      <c r="L179" s="120" t="s">
        <v>658</v>
      </c>
      <c r="M179" s="120" t="s">
        <v>412</v>
      </c>
      <c r="N179" s="120" t="s">
        <v>659</v>
      </c>
    </row>
    <row r="180" spans="1:14" ht="18.75" customHeight="1" x14ac:dyDescent="0.25">
      <c r="A180" s="119">
        <v>20</v>
      </c>
      <c r="B180" s="120" t="s">
        <v>162</v>
      </c>
      <c r="C180" s="120" t="s">
        <v>163</v>
      </c>
      <c r="D180" s="120" t="s">
        <v>164</v>
      </c>
      <c r="E180" s="125" t="s">
        <v>121</v>
      </c>
      <c r="F180" s="120"/>
      <c r="G180" s="120" t="s">
        <v>438</v>
      </c>
      <c r="H180" s="120" t="s">
        <v>439</v>
      </c>
      <c r="I180" s="120" t="s">
        <v>440</v>
      </c>
      <c r="J180" s="208">
        <v>30</v>
      </c>
      <c r="K180" s="120" t="s">
        <v>36</v>
      </c>
      <c r="L180" s="120" t="s">
        <v>668</v>
      </c>
      <c r="M180" s="120" t="s">
        <v>121</v>
      </c>
      <c r="N180" s="120" t="s">
        <v>657</v>
      </c>
    </row>
    <row r="181" spans="1:14" ht="18.75" customHeight="1" x14ac:dyDescent="0.25">
      <c r="A181" s="119">
        <v>21</v>
      </c>
      <c r="B181" s="120" t="s">
        <v>162</v>
      </c>
      <c r="C181" s="120" t="s">
        <v>163</v>
      </c>
      <c r="D181" s="120" t="s">
        <v>164</v>
      </c>
      <c r="E181" s="125" t="s">
        <v>121</v>
      </c>
      <c r="F181" s="120"/>
      <c r="G181" s="120" t="s">
        <v>442</v>
      </c>
      <c r="H181" s="120" t="s">
        <v>443</v>
      </c>
      <c r="I181" s="120" t="s">
        <v>381</v>
      </c>
      <c r="J181" s="208">
        <v>28</v>
      </c>
      <c r="K181" s="120" t="s">
        <v>480</v>
      </c>
      <c r="L181" s="120" t="s">
        <v>658</v>
      </c>
      <c r="M181" s="120" t="s">
        <v>412</v>
      </c>
      <c r="N181" s="120" t="s">
        <v>659</v>
      </c>
    </row>
    <row r="182" spans="1:14" ht="18.75" customHeight="1" x14ac:dyDescent="0.25">
      <c r="A182" s="119">
        <v>22</v>
      </c>
      <c r="B182" s="120" t="s">
        <v>162</v>
      </c>
      <c r="C182" s="120" t="s">
        <v>163</v>
      </c>
      <c r="D182" s="120" t="s">
        <v>164</v>
      </c>
      <c r="E182" s="125" t="s">
        <v>121</v>
      </c>
      <c r="F182" s="120"/>
      <c r="G182" s="120" t="s">
        <v>445</v>
      </c>
      <c r="H182" s="120" t="s">
        <v>446</v>
      </c>
      <c r="I182" s="120" t="s">
        <v>372</v>
      </c>
      <c r="J182" s="208">
        <v>16</v>
      </c>
      <c r="K182" s="120" t="s">
        <v>36</v>
      </c>
      <c r="L182" s="120" t="s">
        <v>669</v>
      </c>
      <c r="M182" s="120" t="s">
        <v>121</v>
      </c>
      <c r="N182" s="120" t="s">
        <v>657</v>
      </c>
    </row>
    <row r="183" spans="1:14" ht="18.75" customHeight="1" x14ac:dyDescent="0.25">
      <c r="A183" s="119">
        <v>23</v>
      </c>
      <c r="B183" s="120" t="s">
        <v>162</v>
      </c>
      <c r="C183" s="120" t="s">
        <v>163</v>
      </c>
      <c r="D183" s="120" t="s">
        <v>164</v>
      </c>
      <c r="E183" s="125" t="s">
        <v>121</v>
      </c>
      <c r="F183" s="120"/>
      <c r="G183" s="120" t="s">
        <v>449</v>
      </c>
      <c r="H183" s="120" t="s">
        <v>450</v>
      </c>
      <c r="I183" s="120" t="s">
        <v>451</v>
      </c>
      <c r="J183" s="208">
        <v>22</v>
      </c>
      <c r="K183" s="120" t="s">
        <v>36</v>
      </c>
      <c r="L183" s="120" t="s">
        <v>670</v>
      </c>
      <c r="M183" s="120" t="s">
        <v>121</v>
      </c>
      <c r="N183" s="120" t="s">
        <v>657</v>
      </c>
    </row>
    <row r="184" spans="1:14" ht="18.75" customHeight="1" x14ac:dyDescent="0.25">
      <c r="A184" s="119">
        <v>24</v>
      </c>
      <c r="B184" s="120" t="s">
        <v>162</v>
      </c>
      <c r="C184" s="120" t="s">
        <v>163</v>
      </c>
      <c r="D184" s="120" t="s">
        <v>164</v>
      </c>
      <c r="E184" s="125" t="s">
        <v>121</v>
      </c>
      <c r="F184" s="120"/>
      <c r="G184" s="120" t="s">
        <v>453</v>
      </c>
      <c r="H184" s="120" t="s">
        <v>454</v>
      </c>
      <c r="I184" s="120" t="s">
        <v>455</v>
      </c>
      <c r="J184" s="208">
        <v>25</v>
      </c>
      <c r="K184" s="120" t="s">
        <v>480</v>
      </c>
      <c r="L184" s="120" t="s">
        <v>658</v>
      </c>
      <c r="M184" s="120" t="s">
        <v>412</v>
      </c>
      <c r="N184" s="120" t="s">
        <v>659</v>
      </c>
    </row>
    <row r="185" spans="1:14" ht="18.75" customHeight="1" x14ac:dyDescent="0.25">
      <c r="A185" s="119">
        <v>25</v>
      </c>
      <c r="B185" s="120" t="s">
        <v>162</v>
      </c>
      <c r="C185" s="120" t="s">
        <v>163</v>
      </c>
      <c r="D185" s="120" t="s">
        <v>164</v>
      </c>
      <c r="E185" s="125" t="s">
        <v>121</v>
      </c>
      <c r="F185" s="120"/>
      <c r="G185" s="120" t="s">
        <v>457</v>
      </c>
      <c r="H185" s="120" t="s">
        <v>458</v>
      </c>
      <c r="I185" s="120" t="s">
        <v>459</v>
      </c>
      <c r="J185" s="208">
        <v>22</v>
      </c>
      <c r="K185" s="120" t="s">
        <v>36</v>
      </c>
      <c r="L185" s="120" t="s">
        <v>671</v>
      </c>
      <c r="M185" s="120" t="s">
        <v>121</v>
      </c>
      <c r="N185" s="120" t="s">
        <v>657</v>
      </c>
    </row>
    <row r="186" spans="1:14" ht="4.5" customHeight="1" x14ac:dyDescent="0.25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</row>
    <row r="188" spans="1:14" ht="26.1" customHeight="1" x14ac:dyDescent="0.25">
      <c r="A188" s="267" t="s">
        <v>721</v>
      </c>
      <c r="B188" s="237"/>
      <c r="C188" s="237"/>
      <c r="D188" s="237"/>
      <c r="E188" s="237"/>
      <c r="F188" s="237"/>
      <c r="G188" s="237"/>
      <c r="H188" s="237"/>
      <c r="I188" s="237"/>
      <c r="J188" s="237"/>
      <c r="K188" s="237"/>
      <c r="L188" s="237"/>
      <c r="M188" s="237"/>
      <c r="N188" s="237"/>
    </row>
    <row r="189" spans="1:14" ht="32.1" customHeight="1" x14ac:dyDescent="0.25">
      <c r="A189" s="230" t="s">
        <v>17</v>
      </c>
      <c r="B189" s="230" t="s">
        <v>18</v>
      </c>
      <c r="C189" s="230" t="s">
        <v>692</v>
      </c>
      <c r="D189" s="230" t="s">
        <v>693</v>
      </c>
      <c r="E189" s="230" t="s">
        <v>694</v>
      </c>
      <c r="F189" s="230" t="s">
        <v>695</v>
      </c>
      <c r="G189" s="230" t="s">
        <v>623</v>
      </c>
      <c r="H189" s="230" t="s">
        <v>696</v>
      </c>
      <c r="I189" s="230" t="s">
        <v>697</v>
      </c>
      <c r="J189" s="230" t="s">
        <v>698</v>
      </c>
      <c r="K189" s="230" t="s">
        <v>699</v>
      </c>
      <c r="L189" s="230" t="s">
        <v>700</v>
      </c>
    </row>
    <row r="190" spans="1:14" ht="30" customHeight="1" x14ac:dyDescent="0.25">
      <c r="A190" s="210">
        <v>1</v>
      </c>
      <c r="B190" s="211" t="s">
        <v>144</v>
      </c>
      <c r="C190" s="211" t="s">
        <v>146</v>
      </c>
      <c r="D190" s="210">
        <v>25</v>
      </c>
      <c r="E190" s="210">
        <f>COUNTIF(K5:K190,"PASS")</f>
        <v>88</v>
      </c>
      <c r="F190" s="210">
        <f>COUNTIF(K5:K190,"FAIL")</f>
        <v>81</v>
      </c>
      <c r="G190" s="210">
        <f>COUNTIF(K5:K190,"PARTIAL")</f>
        <v>0</v>
      </c>
      <c r="H190" s="210">
        <f t="shared" ref="H190:H196" si="0">IF(D190&gt;0,ROUND(E190/D190*100,1),0)</f>
        <v>352</v>
      </c>
      <c r="I190" s="211" t="s">
        <v>353</v>
      </c>
      <c r="J190" s="211" t="s">
        <v>363</v>
      </c>
      <c r="K190" s="210" t="s">
        <v>121</v>
      </c>
      <c r="L190" s="211" t="s">
        <v>702</v>
      </c>
    </row>
    <row r="191" spans="1:14" ht="30" customHeight="1" x14ac:dyDescent="0.25">
      <c r="A191" s="202">
        <v>2</v>
      </c>
      <c r="B191" s="203" t="s">
        <v>149</v>
      </c>
      <c r="C191" s="203" t="s">
        <v>150</v>
      </c>
      <c r="D191" s="202">
        <v>25</v>
      </c>
      <c r="E191" s="202">
        <f>COUNTIF(K32:K191,"PASS")</f>
        <v>75</v>
      </c>
      <c r="F191" s="202">
        <f>COUNTIF(K32:K191,"FAIL")</f>
        <v>69</v>
      </c>
      <c r="G191" s="202">
        <f>COUNTIF(K32:K191,"PARTIAL")</f>
        <v>0</v>
      </c>
      <c r="H191" s="202">
        <f t="shared" si="0"/>
        <v>300</v>
      </c>
      <c r="I191" s="203" t="s">
        <v>374</v>
      </c>
      <c r="J191" s="203" t="s">
        <v>363</v>
      </c>
      <c r="K191" s="202" t="s">
        <v>121</v>
      </c>
      <c r="L191" s="203" t="s">
        <v>702</v>
      </c>
    </row>
    <row r="192" spans="1:14" ht="30" customHeight="1" x14ac:dyDescent="0.25">
      <c r="A192" s="210">
        <v>3</v>
      </c>
      <c r="B192" s="211" t="s">
        <v>152</v>
      </c>
      <c r="C192" s="211" t="s">
        <v>153</v>
      </c>
      <c r="D192" s="210">
        <v>25</v>
      </c>
      <c r="E192" s="210">
        <f>COUNTIF(K57:K192,"PASS")</f>
        <v>63</v>
      </c>
      <c r="F192" s="210">
        <f>COUNTIF(K57:K192,"FAIL")</f>
        <v>57</v>
      </c>
      <c r="G192" s="210">
        <f>COUNTIF(K57:K192,"PARTIAL")</f>
        <v>0</v>
      </c>
      <c r="H192" s="210">
        <f t="shared" si="0"/>
        <v>252</v>
      </c>
      <c r="I192" s="211" t="s">
        <v>353</v>
      </c>
      <c r="J192" s="211" t="s">
        <v>369</v>
      </c>
      <c r="K192" s="210" t="s">
        <v>121</v>
      </c>
      <c r="L192" s="211" t="s">
        <v>702</v>
      </c>
    </row>
    <row r="193" spans="1:12" ht="30" customHeight="1" x14ac:dyDescent="0.25">
      <c r="A193" s="202">
        <v>4</v>
      </c>
      <c r="B193" s="203" t="s">
        <v>155</v>
      </c>
      <c r="C193" s="203" t="s">
        <v>143</v>
      </c>
      <c r="D193" s="202">
        <v>25</v>
      </c>
      <c r="E193" s="202">
        <f>COUNTIF(K83:K193,"PASS")</f>
        <v>50</v>
      </c>
      <c r="F193" s="202">
        <f>COUNTIF(K83:K193,"FAIL")</f>
        <v>46</v>
      </c>
      <c r="G193" s="202">
        <f>COUNTIF(K83:K193,"PARTIAL")</f>
        <v>0</v>
      </c>
      <c r="H193" s="202">
        <f t="shared" si="0"/>
        <v>200</v>
      </c>
      <c r="I193" s="203" t="s">
        <v>353</v>
      </c>
      <c r="J193" s="203" t="s">
        <v>363</v>
      </c>
      <c r="K193" s="202" t="s">
        <v>121</v>
      </c>
      <c r="L193" s="203" t="s">
        <v>702</v>
      </c>
    </row>
    <row r="194" spans="1:12" ht="30" customHeight="1" x14ac:dyDescent="0.25">
      <c r="A194" s="210">
        <v>5</v>
      </c>
      <c r="B194" s="211" t="s">
        <v>156</v>
      </c>
      <c r="C194" s="211" t="s">
        <v>157</v>
      </c>
      <c r="D194" s="210">
        <v>25</v>
      </c>
      <c r="E194" s="210">
        <f>COUNTIF(K109:K194,"PASS")</f>
        <v>37</v>
      </c>
      <c r="F194" s="210">
        <f>COUNTIF(K109:K194,"FAIL")</f>
        <v>35</v>
      </c>
      <c r="G194" s="210">
        <f>COUNTIF(K109:K194,"PARTIAL")</f>
        <v>0</v>
      </c>
      <c r="H194" s="210">
        <f t="shared" si="0"/>
        <v>148</v>
      </c>
      <c r="I194" s="211" t="s">
        <v>353</v>
      </c>
      <c r="J194" s="211" t="s">
        <v>363</v>
      </c>
      <c r="K194" s="210" t="s">
        <v>121</v>
      </c>
      <c r="L194" s="211" t="s">
        <v>702</v>
      </c>
    </row>
    <row r="195" spans="1:12" ht="30" customHeight="1" x14ac:dyDescent="0.25">
      <c r="A195" s="202">
        <v>6</v>
      </c>
      <c r="B195" s="203" t="s">
        <v>159</v>
      </c>
      <c r="C195" s="203" t="s">
        <v>160</v>
      </c>
      <c r="D195" s="202">
        <v>25</v>
      </c>
      <c r="E195" s="202">
        <f>COUNTIF(K135:K195,"PASS")</f>
        <v>25</v>
      </c>
      <c r="F195" s="202">
        <f>COUNTIF(K135:K195,"FAIL")</f>
        <v>23</v>
      </c>
      <c r="G195" s="202">
        <f>COUNTIF(K135:K195,"PARTIAL")</f>
        <v>0</v>
      </c>
      <c r="H195" s="202">
        <f t="shared" si="0"/>
        <v>100</v>
      </c>
      <c r="I195" s="203" t="s">
        <v>353</v>
      </c>
      <c r="J195" s="203" t="s">
        <v>363</v>
      </c>
      <c r="K195" s="202" t="s">
        <v>121</v>
      </c>
      <c r="L195" s="203" t="s">
        <v>702</v>
      </c>
    </row>
    <row r="196" spans="1:12" ht="30" customHeight="1" x14ac:dyDescent="0.25">
      <c r="A196" s="210">
        <v>7</v>
      </c>
      <c r="B196" s="211" t="s">
        <v>162</v>
      </c>
      <c r="C196" s="211" t="s">
        <v>163</v>
      </c>
      <c r="D196" s="210">
        <v>25</v>
      </c>
      <c r="E196" s="210">
        <f>COUNTIF(K161:K196,"PASS")</f>
        <v>12</v>
      </c>
      <c r="F196" s="210">
        <f>COUNTIF(K161:K196,"FAIL")</f>
        <v>12</v>
      </c>
      <c r="G196" s="210">
        <f>COUNTIF(K161:K196,"PARTIAL")</f>
        <v>0</v>
      </c>
      <c r="H196" s="210">
        <f t="shared" si="0"/>
        <v>48</v>
      </c>
      <c r="I196" s="211" t="s">
        <v>353</v>
      </c>
      <c r="J196" s="211" t="s">
        <v>363</v>
      </c>
      <c r="K196" s="210" t="s">
        <v>209</v>
      </c>
      <c r="L196" s="211" t="s">
        <v>702</v>
      </c>
    </row>
    <row r="197" spans="1:12" ht="45" x14ac:dyDescent="0.25">
      <c r="H197" s="292" t="s">
        <v>894</v>
      </c>
    </row>
  </sheetData>
  <mergeCells count="10">
    <mergeCell ref="A188:N188"/>
    <mergeCell ref="A58:N58"/>
    <mergeCell ref="A1:N1"/>
    <mergeCell ref="A31:N31"/>
    <mergeCell ref="A4:N4"/>
    <mergeCell ref="A139:N139"/>
    <mergeCell ref="A2:N2"/>
    <mergeCell ref="A166:N166"/>
    <mergeCell ref="A112:N112"/>
    <mergeCell ref="A85:N85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N224"/>
  <sheetViews>
    <sheetView zoomScaleNormal="100" workbookViewId="0">
      <pane xSplit="1" ySplit="3" topLeftCell="B214" activePane="bottomRight" state="frozen"/>
      <selection pane="topRight" activeCell="B1" sqref="B1"/>
      <selection pane="bottomLeft" activeCell="A217" sqref="A217"/>
      <selection pane="bottomRight" activeCell="H224" sqref="H224"/>
    </sheetView>
  </sheetViews>
  <sheetFormatPr defaultColWidth="8.7109375" defaultRowHeight="15" x14ac:dyDescent="0.25"/>
  <cols>
    <col min="1" max="1" width="4" customWidth="1"/>
    <col min="2" max="2" width="28" customWidth="1"/>
    <col min="3" max="3" width="24" customWidth="1"/>
    <col min="4" max="4" width="18" customWidth="1"/>
    <col min="5" max="5" width="10" customWidth="1"/>
    <col min="6" max="6" width="11" customWidth="1"/>
    <col min="7" max="7" width="22" customWidth="1"/>
    <col min="8" max="8" width="20" customWidth="1"/>
    <col min="9" max="10" width="22" customWidth="1"/>
    <col min="11" max="11" width="14" customWidth="1"/>
    <col min="12" max="12" width="32" customWidth="1"/>
    <col min="13" max="13" width="14" customWidth="1"/>
    <col min="14" max="14" width="28" customWidth="1"/>
  </cols>
  <sheetData>
    <row r="1" spans="1:14" ht="37.5" customHeight="1" x14ac:dyDescent="0.25">
      <c r="A1" s="271" t="s">
        <v>722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</row>
    <row r="2" spans="1:14" ht="15.75" customHeight="1" x14ac:dyDescent="0.25">
      <c r="A2" s="274" t="s">
        <v>648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</row>
    <row r="3" spans="1:14" ht="33.75" customHeight="1" x14ac:dyDescent="0.25">
      <c r="A3" s="126" t="s">
        <v>17</v>
      </c>
      <c r="B3" s="126" t="s">
        <v>18</v>
      </c>
      <c r="C3" s="126" t="s">
        <v>97</v>
      </c>
      <c r="D3" s="126" t="s">
        <v>649</v>
      </c>
      <c r="E3" s="126" t="s">
        <v>98</v>
      </c>
      <c r="F3" s="126" t="s">
        <v>650</v>
      </c>
      <c r="G3" s="126" t="s">
        <v>464</v>
      </c>
      <c r="H3" s="126" t="s">
        <v>465</v>
      </c>
      <c r="I3" s="126" t="s">
        <v>651</v>
      </c>
      <c r="J3" s="126" t="s">
        <v>24</v>
      </c>
      <c r="K3" s="126" t="s">
        <v>652</v>
      </c>
      <c r="L3" s="126" t="s">
        <v>26</v>
      </c>
      <c r="M3" s="126" t="s">
        <v>653</v>
      </c>
      <c r="N3" s="126" t="s">
        <v>654</v>
      </c>
    </row>
    <row r="4" spans="1:14" ht="19.5" customHeight="1" x14ac:dyDescent="0.25">
      <c r="A4" s="273" t="s">
        <v>723</v>
      </c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1"/>
    </row>
    <row r="5" spans="1:14" ht="18.75" customHeight="1" x14ac:dyDescent="0.25">
      <c r="A5" s="34">
        <v>1</v>
      </c>
      <c r="B5" s="35" t="s">
        <v>165</v>
      </c>
      <c r="C5" s="35" t="s">
        <v>167</v>
      </c>
      <c r="D5" s="35" t="s">
        <v>168</v>
      </c>
      <c r="E5" s="101" t="s">
        <v>104</v>
      </c>
      <c r="F5" s="35"/>
      <c r="G5" s="35" t="s">
        <v>353</v>
      </c>
      <c r="H5" s="35" t="s">
        <v>354</v>
      </c>
      <c r="I5" s="35" t="s">
        <v>360</v>
      </c>
      <c r="J5" s="198">
        <v>12</v>
      </c>
      <c r="K5" s="35" t="s">
        <v>36</v>
      </c>
      <c r="L5" s="35" t="s">
        <v>656</v>
      </c>
      <c r="M5" s="35" t="s">
        <v>104</v>
      </c>
      <c r="N5" s="35" t="s">
        <v>657</v>
      </c>
    </row>
    <row r="6" spans="1:14" ht="18.75" customHeight="1" x14ac:dyDescent="0.25">
      <c r="A6" s="127">
        <v>2</v>
      </c>
      <c r="B6" s="128" t="s">
        <v>165</v>
      </c>
      <c r="C6" s="128" t="s">
        <v>167</v>
      </c>
      <c r="D6" s="128" t="s">
        <v>168</v>
      </c>
      <c r="E6" s="129" t="s">
        <v>104</v>
      </c>
      <c r="F6" s="128"/>
      <c r="G6" s="128" t="s">
        <v>363</v>
      </c>
      <c r="H6" s="128" t="s">
        <v>364</v>
      </c>
      <c r="I6" s="128" t="s">
        <v>367</v>
      </c>
      <c r="J6" s="212">
        <v>8</v>
      </c>
      <c r="K6" s="128" t="s">
        <v>480</v>
      </c>
      <c r="L6" s="128" t="s">
        <v>658</v>
      </c>
      <c r="M6" s="128" t="s">
        <v>412</v>
      </c>
      <c r="N6" s="128" t="s">
        <v>659</v>
      </c>
    </row>
    <row r="7" spans="1:14" ht="18.75" customHeight="1" x14ac:dyDescent="0.25">
      <c r="A7" s="127">
        <v>3</v>
      </c>
      <c r="B7" s="128" t="s">
        <v>165</v>
      </c>
      <c r="C7" s="128" t="s">
        <v>167</v>
      </c>
      <c r="D7" s="128" t="s">
        <v>168</v>
      </c>
      <c r="E7" s="129" t="s">
        <v>104</v>
      </c>
      <c r="F7" s="128"/>
      <c r="G7" s="128" t="s">
        <v>369</v>
      </c>
      <c r="H7" s="128" t="s">
        <v>370</v>
      </c>
      <c r="I7" s="128" t="s">
        <v>372</v>
      </c>
      <c r="J7" s="212">
        <v>19</v>
      </c>
      <c r="K7" s="128" t="s">
        <v>480</v>
      </c>
      <c r="L7" s="128" t="s">
        <v>658</v>
      </c>
      <c r="M7" s="128" t="s">
        <v>412</v>
      </c>
      <c r="N7" s="128" t="s">
        <v>659</v>
      </c>
    </row>
    <row r="8" spans="1:14" ht="18.75" customHeight="1" x14ac:dyDescent="0.25">
      <c r="A8" s="127">
        <v>4</v>
      </c>
      <c r="B8" s="128" t="s">
        <v>165</v>
      </c>
      <c r="C8" s="128" t="s">
        <v>167</v>
      </c>
      <c r="D8" s="128" t="s">
        <v>168</v>
      </c>
      <c r="E8" s="129" t="s">
        <v>104</v>
      </c>
      <c r="F8" s="128"/>
      <c r="G8" s="128" t="s">
        <v>374</v>
      </c>
      <c r="H8" s="128" t="s">
        <v>375</v>
      </c>
      <c r="I8" s="128" t="s">
        <v>377</v>
      </c>
      <c r="J8" s="212">
        <v>9</v>
      </c>
      <c r="K8" s="128" t="s">
        <v>36</v>
      </c>
      <c r="L8" s="128" t="s">
        <v>660</v>
      </c>
      <c r="M8" s="128" t="s">
        <v>104</v>
      </c>
      <c r="N8" s="128" t="s">
        <v>657</v>
      </c>
    </row>
    <row r="9" spans="1:14" ht="18.75" customHeight="1" x14ac:dyDescent="0.25">
      <c r="A9" s="127">
        <v>5</v>
      </c>
      <c r="B9" s="128" t="s">
        <v>165</v>
      </c>
      <c r="C9" s="128" t="s">
        <v>167</v>
      </c>
      <c r="D9" s="128" t="s">
        <v>168</v>
      </c>
      <c r="E9" s="129" t="s">
        <v>104</v>
      </c>
      <c r="F9" s="128"/>
      <c r="G9" s="128" t="s">
        <v>379</v>
      </c>
      <c r="H9" s="128" t="s">
        <v>380</v>
      </c>
      <c r="I9" s="128" t="s">
        <v>381</v>
      </c>
      <c r="J9" s="212">
        <v>19</v>
      </c>
      <c r="K9" s="128" t="s">
        <v>480</v>
      </c>
      <c r="L9" s="128" t="s">
        <v>658</v>
      </c>
      <c r="M9" s="128" t="s">
        <v>412</v>
      </c>
      <c r="N9" s="128" t="s">
        <v>659</v>
      </c>
    </row>
    <row r="10" spans="1:14" ht="18.75" customHeight="1" x14ac:dyDescent="0.25">
      <c r="A10" s="127">
        <v>6</v>
      </c>
      <c r="B10" s="128" t="s">
        <v>165</v>
      </c>
      <c r="C10" s="128" t="s">
        <v>167</v>
      </c>
      <c r="D10" s="128" t="s">
        <v>168</v>
      </c>
      <c r="E10" s="129" t="s">
        <v>104</v>
      </c>
      <c r="F10" s="128"/>
      <c r="G10" s="128" t="s">
        <v>383</v>
      </c>
      <c r="H10" s="128" t="s">
        <v>384</v>
      </c>
      <c r="I10" s="128" t="s">
        <v>385</v>
      </c>
      <c r="J10" s="212">
        <v>15</v>
      </c>
      <c r="K10" s="128" t="s">
        <v>36</v>
      </c>
      <c r="L10" s="128" t="s">
        <v>661</v>
      </c>
      <c r="M10" s="128" t="s">
        <v>104</v>
      </c>
      <c r="N10" s="128" t="s">
        <v>657</v>
      </c>
    </row>
    <row r="11" spans="1:14" ht="18.75" customHeight="1" x14ac:dyDescent="0.25">
      <c r="A11" s="127">
        <v>7</v>
      </c>
      <c r="B11" s="128" t="s">
        <v>165</v>
      </c>
      <c r="C11" s="128" t="s">
        <v>167</v>
      </c>
      <c r="D11" s="128" t="s">
        <v>168</v>
      </c>
      <c r="E11" s="129" t="s">
        <v>104</v>
      </c>
      <c r="F11" s="128"/>
      <c r="G11" s="128" t="s">
        <v>387</v>
      </c>
      <c r="H11" s="128" t="s">
        <v>388</v>
      </c>
      <c r="I11" s="128" t="s">
        <v>389</v>
      </c>
      <c r="J11" s="212">
        <v>19</v>
      </c>
      <c r="K11" s="128" t="s">
        <v>480</v>
      </c>
      <c r="L11" s="128" t="s">
        <v>658</v>
      </c>
      <c r="M11" s="128" t="s">
        <v>412</v>
      </c>
      <c r="N11" s="128" t="s">
        <v>659</v>
      </c>
    </row>
    <row r="12" spans="1:14" ht="18.75" customHeight="1" x14ac:dyDescent="0.25">
      <c r="A12" s="127">
        <v>8</v>
      </c>
      <c r="B12" s="128" t="s">
        <v>165</v>
      </c>
      <c r="C12" s="128" t="s">
        <v>167</v>
      </c>
      <c r="D12" s="128" t="s">
        <v>168</v>
      </c>
      <c r="E12" s="129" t="s">
        <v>104</v>
      </c>
      <c r="F12" s="128"/>
      <c r="G12" s="128" t="s">
        <v>391</v>
      </c>
      <c r="H12" s="128" t="s">
        <v>392</v>
      </c>
      <c r="I12" s="128" t="s">
        <v>393</v>
      </c>
      <c r="J12" s="212">
        <v>18</v>
      </c>
      <c r="K12" s="128" t="s">
        <v>480</v>
      </c>
      <c r="L12" s="128" t="s">
        <v>658</v>
      </c>
      <c r="M12" s="128" t="s">
        <v>412</v>
      </c>
      <c r="N12" s="128" t="s">
        <v>659</v>
      </c>
    </row>
    <row r="13" spans="1:14" ht="18.75" customHeight="1" x14ac:dyDescent="0.25">
      <c r="A13" s="127">
        <v>9</v>
      </c>
      <c r="B13" s="128" t="s">
        <v>165</v>
      </c>
      <c r="C13" s="128" t="s">
        <v>167</v>
      </c>
      <c r="D13" s="128" t="s">
        <v>168</v>
      </c>
      <c r="E13" s="129" t="s">
        <v>104</v>
      </c>
      <c r="F13" s="128"/>
      <c r="G13" s="128" t="s">
        <v>395</v>
      </c>
      <c r="H13" s="128" t="s">
        <v>396</v>
      </c>
      <c r="I13" s="128" t="s">
        <v>360</v>
      </c>
      <c r="J13" s="212">
        <v>19</v>
      </c>
      <c r="K13" s="128" t="s">
        <v>36</v>
      </c>
      <c r="L13" s="128" t="s">
        <v>662</v>
      </c>
      <c r="M13" s="128" t="s">
        <v>104</v>
      </c>
      <c r="N13" s="128" t="s">
        <v>657</v>
      </c>
    </row>
    <row r="14" spans="1:14" ht="18.75" customHeight="1" x14ac:dyDescent="0.25">
      <c r="A14" s="127">
        <v>10</v>
      </c>
      <c r="B14" s="128" t="s">
        <v>165</v>
      </c>
      <c r="C14" s="128" t="s">
        <v>167</v>
      </c>
      <c r="D14" s="128" t="s">
        <v>168</v>
      </c>
      <c r="E14" s="129" t="s">
        <v>104</v>
      </c>
      <c r="F14" s="128"/>
      <c r="G14" s="128" t="s">
        <v>399</v>
      </c>
      <c r="H14" s="128" t="s">
        <v>400</v>
      </c>
      <c r="I14" s="128" t="s">
        <v>372</v>
      </c>
      <c r="J14" s="212">
        <v>10</v>
      </c>
      <c r="K14" s="128" t="s">
        <v>480</v>
      </c>
      <c r="L14" s="128" t="s">
        <v>658</v>
      </c>
      <c r="M14" s="128" t="s">
        <v>412</v>
      </c>
      <c r="N14" s="128" t="s">
        <v>659</v>
      </c>
    </row>
    <row r="15" spans="1:14" ht="18.75" customHeight="1" x14ac:dyDescent="0.25">
      <c r="A15" s="127">
        <v>11</v>
      </c>
      <c r="B15" s="128" t="s">
        <v>165</v>
      </c>
      <c r="C15" s="128" t="s">
        <v>167</v>
      </c>
      <c r="D15" s="128" t="s">
        <v>168</v>
      </c>
      <c r="E15" s="129" t="s">
        <v>104</v>
      </c>
      <c r="F15" s="128"/>
      <c r="G15" s="128" t="s">
        <v>402</v>
      </c>
      <c r="H15" s="128" t="s">
        <v>403</v>
      </c>
      <c r="I15" s="128" t="s">
        <v>404</v>
      </c>
      <c r="J15" s="212">
        <v>20</v>
      </c>
      <c r="K15" s="128" t="s">
        <v>36</v>
      </c>
      <c r="L15" s="128" t="s">
        <v>663</v>
      </c>
      <c r="M15" s="128" t="s">
        <v>104</v>
      </c>
      <c r="N15" s="128" t="s">
        <v>657</v>
      </c>
    </row>
    <row r="16" spans="1:14" ht="18.75" customHeight="1" x14ac:dyDescent="0.25">
      <c r="A16" s="127">
        <v>12</v>
      </c>
      <c r="B16" s="128" t="s">
        <v>165</v>
      </c>
      <c r="C16" s="128" t="s">
        <v>167</v>
      </c>
      <c r="D16" s="128" t="s">
        <v>168</v>
      </c>
      <c r="E16" s="129" t="s">
        <v>104</v>
      </c>
      <c r="F16" s="128"/>
      <c r="G16" s="128" t="s">
        <v>406</v>
      </c>
      <c r="H16" s="128" t="s">
        <v>407</v>
      </c>
      <c r="I16" s="128" t="s">
        <v>367</v>
      </c>
      <c r="J16" s="212">
        <v>19</v>
      </c>
      <c r="K16" s="128" t="s">
        <v>480</v>
      </c>
      <c r="L16" s="128" t="s">
        <v>658</v>
      </c>
      <c r="M16" s="128" t="s">
        <v>412</v>
      </c>
      <c r="N16" s="128" t="s">
        <v>659</v>
      </c>
    </row>
    <row r="17" spans="1:14" ht="18.75" customHeight="1" x14ac:dyDescent="0.25">
      <c r="A17" s="127">
        <v>13</v>
      </c>
      <c r="B17" s="128" t="s">
        <v>165</v>
      </c>
      <c r="C17" s="128" t="s">
        <v>167</v>
      </c>
      <c r="D17" s="128" t="s">
        <v>168</v>
      </c>
      <c r="E17" s="129" t="s">
        <v>104</v>
      </c>
      <c r="F17" s="128"/>
      <c r="G17" s="128" t="s">
        <v>409</v>
      </c>
      <c r="H17" s="128" t="s">
        <v>410</v>
      </c>
      <c r="I17" s="128" t="s">
        <v>360</v>
      </c>
      <c r="J17" s="212">
        <v>13</v>
      </c>
      <c r="K17" s="128" t="s">
        <v>36</v>
      </c>
      <c r="L17" s="128" t="s">
        <v>664</v>
      </c>
      <c r="M17" s="128" t="s">
        <v>104</v>
      </c>
      <c r="N17" s="128" t="s">
        <v>657</v>
      </c>
    </row>
    <row r="18" spans="1:14" ht="18.75" customHeight="1" x14ac:dyDescent="0.25">
      <c r="A18" s="127">
        <v>14</v>
      </c>
      <c r="B18" s="128" t="s">
        <v>165</v>
      </c>
      <c r="C18" s="128" t="s">
        <v>167</v>
      </c>
      <c r="D18" s="128" t="s">
        <v>168</v>
      </c>
      <c r="E18" s="129" t="s">
        <v>104</v>
      </c>
      <c r="F18" s="128"/>
      <c r="G18" s="128" t="s">
        <v>415</v>
      </c>
      <c r="H18" s="128" t="s">
        <v>416</v>
      </c>
      <c r="I18" s="128" t="s">
        <v>385</v>
      </c>
      <c r="J18" s="212">
        <v>12</v>
      </c>
      <c r="K18" s="128" t="s">
        <v>36</v>
      </c>
      <c r="L18" s="128" t="s">
        <v>665</v>
      </c>
      <c r="M18" s="128" t="s">
        <v>104</v>
      </c>
      <c r="N18" s="128" t="s">
        <v>657</v>
      </c>
    </row>
    <row r="19" spans="1:14" ht="18.75" customHeight="1" x14ac:dyDescent="0.25">
      <c r="A19" s="127">
        <v>15</v>
      </c>
      <c r="B19" s="128" t="s">
        <v>165</v>
      </c>
      <c r="C19" s="128" t="s">
        <v>167</v>
      </c>
      <c r="D19" s="128" t="s">
        <v>168</v>
      </c>
      <c r="E19" s="129" t="s">
        <v>104</v>
      </c>
      <c r="F19" s="128"/>
      <c r="G19" s="128" t="s">
        <v>418</v>
      </c>
      <c r="H19" s="128" t="s">
        <v>419</v>
      </c>
      <c r="I19" s="128" t="s">
        <v>421</v>
      </c>
      <c r="J19" s="212">
        <v>13</v>
      </c>
      <c r="K19" s="128" t="s">
        <v>480</v>
      </c>
      <c r="L19" s="128" t="s">
        <v>658</v>
      </c>
      <c r="M19" s="128" t="s">
        <v>412</v>
      </c>
      <c r="N19" s="128" t="s">
        <v>659</v>
      </c>
    </row>
    <row r="20" spans="1:14" ht="18.75" customHeight="1" x14ac:dyDescent="0.25">
      <c r="A20" s="127">
        <v>16</v>
      </c>
      <c r="B20" s="128" t="s">
        <v>165</v>
      </c>
      <c r="C20" s="128" t="s">
        <v>167</v>
      </c>
      <c r="D20" s="128" t="s">
        <v>168</v>
      </c>
      <c r="E20" s="129" t="s">
        <v>104</v>
      </c>
      <c r="F20" s="128"/>
      <c r="G20" s="128" t="s">
        <v>423</v>
      </c>
      <c r="H20" s="128" t="s">
        <v>424</v>
      </c>
      <c r="I20" s="128" t="s">
        <v>425</v>
      </c>
      <c r="J20" s="212">
        <v>20</v>
      </c>
      <c r="K20" s="128" t="s">
        <v>36</v>
      </c>
      <c r="L20" s="128" t="s">
        <v>666</v>
      </c>
      <c r="M20" s="128" t="s">
        <v>104</v>
      </c>
      <c r="N20" s="128" t="s">
        <v>657</v>
      </c>
    </row>
    <row r="21" spans="1:14" ht="18.75" customHeight="1" x14ac:dyDescent="0.25">
      <c r="A21" s="127">
        <v>17</v>
      </c>
      <c r="B21" s="128" t="s">
        <v>165</v>
      </c>
      <c r="C21" s="128" t="s">
        <v>167</v>
      </c>
      <c r="D21" s="128" t="s">
        <v>168</v>
      </c>
      <c r="E21" s="129" t="s">
        <v>104</v>
      </c>
      <c r="F21" s="128"/>
      <c r="G21" s="128" t="s">
        <v>427</v>
      </c>
      <c r="H21" s="128" t="s">
        <v>428</v>
      </c>
      <c r="I21" s="128" t="s">
        <v>429</v>
      </c>
      <c r="J21" s="212">
        <v>12</v>
      </c>
      <c r="K21" s="128" t="s">
        <v>480</v>
      </c>
      <c r="L21" s="128" t="s">
        <v>658</v>
      </c>
      <c r="M21" s="128" t="s">
        <v>412</v>
      </c>
      <c r="N21" s="128" t="s">
        <v>659</v>
      </c>
    </row>
    <row r="22" spans="1:14" ht="18.75" customHeight="1" x14ac:dyDescent="0.25">
      <c r="A22" s="127">
        <v>18</v>
      </c>
      <c r="B22" s="128" t="s">
        <v>165</v>
      </c>
      <c r="C22" s="128" t="s">
        <v>167</v>
      </c>
      <c r="D22" s="128" t="s">
        <v>168</v>
      </c>
      <c r="E22" s="129" t="s">
        <v>104</v>
      </c>
      <c r="F22" s="128"/>
      <c r="G22" s="128" t="s">
        <v>431</v>
      </c>
      <c r="H22" s="128" t="s">
        <v>432</v>
      </c>
      <c r="I22" s="128" t="s">
        <v>360</v>
      </c>
      <c r="J22" s="212">
        <v>13</v>
      </c>
      <c r="K22" s="128" t="s">
        <v>36</v>
      </c>
      <c r="L22" s="128" t="s">
        <v>667</v>
      </c>
      <c r="M22" s="128" t="s">
        <v>104</v>
      </c>
      <c r="N22" s="128" t="s">
        <v>657</v>
      </c>
    </row>
    <row r="23" spans="1:14" ht="18.75" customHeight="1" x14ac:dyDescent="0.25">
      <c r="A23" s="127">
        <v>19</v>
      </c>
      <c r="B23" s="128" t="s">
        <v>165</v>
      </c>
      <c r="C23" s="128" t="s">
        <v>167</v>
      </c>
      <c r="D23" s="128" t="s">
        <v>168</v>
      </c>
      <c r="E23" s="129" t="s">
        <v>104</v>
      </c>
      <c r="F23" s="128"/>
      <c r="G23" s="128" t="s">
        <v>434</v>
      </c>
      <c r="H23" s="128" t="s">
        <v>435</v>
      </c>
      <c r="I23" s="128" t="s">
        <v>436</v>
      </c>
      <c r="J23" s="212">
        <v>19</v>
      </c>
      <c r="K23" s="128" t="s">
        <v>480</v>
      </c>
      <c r="L23" s="128" t="s">
        <v>658</v>
      </c>
      <c r="M23" s="128" t="s">
        <v>412</v>
      </c>
      <c r="N23" s="128" t="s">
        <v>659</v>
      </c>
    </row>
    <row r="24" spans="1:14" ht="18.75" customHeight="1" x14ac:dyDescent="0.25">
      <c r="A24" s="127">
        <v>20</v>
      </c>
      <c r="B24" s="128" t="s">
        <v>165</v>
      </c>
      <c r="C24" s="128" t="s">
        <v>167</v>
      </c>
      <c r="D24" s="128" t="s">
        <v>168</v>
      </c>
      <c r="E24" s="129" t="s">
        <v>104</v>
      </c>
      <c r="F24" s="128"/>
      <c r="G24" s="128" t="s">
        <v>438</v>
      </c>
      <c r="H24" s="128" t="s">
        <v>439</v>
      </c>
      <c r="I24" s="128" t="s">
        <v>440</v>
      </c>
      <c r="J24" s="212">
        <v>7</v>
      </c>
      <c r="K24" s="128" t="s">
        <v>36</v>
      </c>
      <c r="L24" s="128" t="s">
        <v>668</v>
      </c>
      <c r="M24" s="128" t="s">
        <v>104</v>
      </c>
      <c r="N24" s="128" t="s">
        <v>657</v>
      </c>
    </row>
    <row r="25" spans="1:14" ht="18.75" customHeight="1" x14ac:dyDescent="0.25">
      <c r="A25" s="127">
        <v>21</v>
      </c>
      <c r="B25" s="128" t="s">
        <v>165</v>
      </c>
      <c r="C25" s="128" t="s">
        <v>167</v>
      </c>
      <c r="D25" s="128" t="s">
        <v>168</v>
      </c>
      <c r="E25" s="129" t="s">
        <v>104</v>
      </c>
      <c r="F25" s="128"/>
      <c r="G25" s="128" t="s">
        <v>442</v>
      </c>
      <c r="H25" s="128" t="s">
        <v>443</v>
      </c>
      <c r="I25" s="128" t="s">
        <v>381</v>
      </c>
      <c r="J25" s="212">
        <v>14</v>
      </c>
      <c r="K25" s="128" t="s">
        <v>480</v>
      </c>
      <c r="L25" s="128" t="s">
        <v>658</v>
      </c>
      <c r="M25" s="128" t="s">
        <v>412</v>
      </c>
      <c r="N25" s="128" t="s">
        <v>659</v>
      </c>
    </row>
    <row r="26" spans="1:14" ht="18.75" customHeight="1" x14ac:dyDescent="0.25">
      <c r="A26" s="127">
        <v>22</v>
      </c>
      <c r="B26" s="128" t="s">
        <v>165</v>
      </c>
      <c r="C26" s="128" t="s">
        <v>167</v>
      </c>
      <c r="D26" s="128" t="s">
        <v>168</v>
      </c>
      <c r="E26" s="129" t="s">
        <v>104</v>
      </c>
      <c r="F26" s="128"/>
      <c r="G26" s="128" t="s">
        <v>445</v>
      </c>
      <c r="H26" s="128" t="s">
        <v>446</v>
      </c>
      <c r="I26" s="128" t="s">
        <v>372</v>
      </c>
      <c r="J26" s="212">
        <v>12</v>
      </c>
      <c r="K26" s="128" t="s">
        <v>36</v>
      </c>
      <c r="L26" s="128" t="s">
        <v>669</v>
      </c>
      <c r="M26" s="128" t="s">
        <v>104</v>
      </c>
      <c r="N26" s="128" t="s">
        <v>657</v>
      </c>
    </row>
    <row r="27" spans="1:14" ht="18.75" customHeight="1" x14ac:dyDescent="0.25">
      <c r="A27" s="127">
        <v>23</v>
      </c>
      <c r="B27" s="128" t="s">
        <v>165</v>
      </c>
      <c r="C27" s="128" t="s">
        <v>167</v>
      </c>
      <c r="D27" s="128" t="s">
        <v>168</v>
      </c>
      <c r="E27" s="129" t="s">
        <v>104</v>
      </c>
      <c r="F27" s="128"/>
      <c r="G27" s="128" t="s">
        <v>449</v>
      </c>
      <c r="H27" s="128" t="s">
        <v>450</v>
      </c>
      <c r="I27" s="128" t="s">
        <v>451</v>
      </c>
      <c r="J27" s="212">
        <v>13</v>
      </c>
      <c r="K27" s="128" t="s">
        <v>36</v>
      </c>
      <c r="L27" s="128" t="s">
        <v>670</v>
      </c>
      <c r="M27" s="128" t="s">
        <v>104</v>
      </c>
      <c r="N27" s="128" t="s">
        <v>657</v>
      </c>
    </row>
    <row r="28" spans="1:14" ht="18.75" customHeight="1" x14ac:dyDescent="0.25">
      <c r="A28" s="127">
        <v>24</v>
      </c>
      <c r="B28" s="128" t="s">
        <v>165</v>
      </c>
      <c r="C28" s="128" t="s">
        <v>167</v>
      </c>
      <c r="D28" s="128" t="s">
        <v>168</v>
      </c>
      <c r="E28" s="129" t="s">
        <v>104</v>
      </c>
      <c r="F28" s="128"/>
      <c r="G28" s="128" t="s">
        <v>453</v>
      </c>
      <c r="H28" s="128" t="s">
        <v>454</v>
      </c>
      <c r="I28" s="128" t="s">
        <v>455</v>
      </c>
      <c r="J28" s="212">
        <v>15</v>
      </c>
      <c r="K28" s="128" t="s">
        <v>480</v>
      </c>
      <c r="L28" s="128" t="s">
        <v>658</v>
      </c>
      <c r="M28" s="128" t="s">
        <v>412</v>
      </c>
      <c r="N28" s="128" t="s">
        <v>659</v>
      </c>
    </row>
    <row r="29" spans="1:14" ht="18.75" customHeight="1" x14ac:dyDescent="0.25">
      <c r="A29" s="127">
        <v>25</v>
      </c>
      <c r="B29" s="128" t="s">
        <v>165</v>
      </c>
      <c r="C29" s="128" t="s">
        <v>167</v>
      </c>
      <c r="D29" s="128" t="s">
        <v>168</v>
      </c>
      <c r="E29" s="129" t="s">
        <v>104</v>
      </c>
      <c r="F29" s="128"/>
      <c r="G29" s="128" t="s">
        <v>457</v>
      </c>
      <c r="H29" s="128" t="s">
        <v>458</v>
      </c>
      <c r="I29" s="128" t="s">
        <v>459</v>
      </c>
      <c r="J29" s="212">
        <v>15</v>
      </c>
      <c r="K29" s="128" t="s">
        <v>36</v>
      </c>
      <c r="L29" s="128" t="s">
        <v>671</v>
      </c>
      <c r="M29" s="128" t="s">
        <v>104</v>
      </c>
      <c r="N29" s="128" t="s">
        <v>657</v>
      </c>
    </row>
    <row r="30" spans="1:14" ht="4.5" customHeight="1" x14ac:dyDescent="0.25">
      <c r="A30" s="105" t="s">
        <v>724</v>
      </c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</row>
    <row r="31" spans="1:14" ht="19.5" customHeight="1" x14ac:dyDescent="0.25">
      <c r="A31" s="273" t="s">
        <v>724</v>
      </c>
      <c r="B31" s="260"/>
      <c r="C31" s="260"/>
      <c r="D31" s="260"/>
      <c r="E31" s="260"/>
      <c r="F31" s="260"/>
      <c r="G31" s="260"/>
      <c r="H31" s="260"/>
      <c r="I31" s="260"/>
      <c r="J31" s="260"/>
      <c r="K31" s="260"/>
      <c r="L31" s="260"/>
      <c r="M31" s="260"/>
      <c r="N31" s="261"/>
    </row>
    <row r="32" spans="1:14" ht="18.75" customHeight="1" x14ac:dyDescent="0.25">
      <c r="A32" s="34">
        <v>2</v>
      </c>
      <c r="B32" s="35" t="s">
        <v>170</v>
      </c>
      <c r="C32" s="35" t="s">
        <v>171</v>
      </c>
      <c r="D32" s="35" t="s">
        <v>168</v>
      </c>
      <c r="E32" s="101" t="s">
        <v>104</v>
      </c>
      <c r="F32" s="35"/>
      <c r="G32" s="35" t="s">
        <v>363</v>
      </c>
      <c r="H32" s="35" t="s">
        <v>364</v>
      </c>
      <c r="I32" s="35" t="s">
        <v>367</v>
      </c>
      <c r="J32" s="198">
        <v>27</v>
      </c>
      <c r="K32" s="35" t="s">
        <v>480</v>
      </c>
      <c r="L32" s="35" t="s">
        <v>658</v>
      </c>
      <c r="M32" s="35" t="s">
        <v>412</v>
      </c>
      <c r="N32" s="35" t="s">
        <v>659</v>
      </c>
    </row>
    <row r="33" spans="1:14" ht="18.75" customHeight="1" x14ac:dyDescent="0.25">
      <c r="A33" s="130">
        <v>3</v>
      </c>
      <c r="B33" s="131" t="s">
        <v>170</v>
      </c>
      <c r="C33" s="131" t="s">
        <v>171</v>
      </c>
      <c r="D33" s="131" t="s">
        <v>168</v>
      </c>
      <c r="E33" s="132" t="s">
        <v>104</v>
      </c>
      <c r="F33" s="131"/>
      <c r="G33" s="131" t="s">
        <v>369</v>
      </c>
      <c r="H33" s="131" t="s">
        <v>370</v>
      </c>
      <c r="I33" s="131" t="s">
        <v>372</v>
      </c>
      <c r="J33" s="213">
        <v>12</v>
      </c>
      <c r="K33" s="131" t="s">
        <v>480</v>
      </c>
      <c r="L33" s="131" t="s">
        <v>658</v>
      </c>
      <c r="M33" s="131" t="s">
        <v>412</v>
      </c>
      <c r="N33" s="131" t="s">
        <v>659</v>
      </c>
    </row>
    <row r="34" spans="1:14" ht="18.75" customHeight="1" x14ac:dyDescent="0.25">
      <c r="A34" s="130">
        <v>4</v>
      </c>
      <c r="B34" s="131" t="s">
        <v>170</v>
      </c>
      <c r="C34" s="131" t="s">
        <v>171</v>
      </c>
      <c r="D34" s="131" t="s">
        <v>168</v>
      </c>
      <c r="E34" s="132" t="s">
        <v>104</v>
      </c>
      <c r="F34" s="131"/>
      <c r="G34" s="131" t="s">
        <v>374</v>
      </c>
      <c r="H34" s="131" t="s">
        <v>375</v>
      </c>
      <c r="I34" s="131" t="s">
        <v>377</v>
      </c>
      <c r="J34" s="213">
        <v>14</v>
      </c>
      <c r="K34" s="131" t="s">
        <v>36</v>
      </c>
      <c r="L34" s="131" t="s">
        <v>660</v>
      </c>
      <c r="M34" s="131" t="s">
        <v>104</v>
      </c>
      <c r="N34" s="131" t="s">
        <v>657</v>
      </c>
    </row>
    <row r="35" spans="1:14" ht="18.75" customHeight="1" x14ac:dyDescent="0.25">
      <c r="A35" s="130">
        <v>5</v>
      </c>
      <c r="B35" s="131" t="s">
        <v>170</v>
      </c>
      <c r="C35" s="131" t="s">
        <v>171</v>
      </c>
      <c r="D35" s="131" t="s">
        <v>168</v>
      </c>
      <c r="E35" s="132" t="s">
        <v>104</v>
      </c>
      <c r="F35" s="131"/>
      <c r="G35" s="131" t="s">
        <v>379</v>
      </c>
      <c r="H35" s="131" t="s">
        <v>380</v>
      </c>
      <c r="I35" s="131" t="s">
        <v>381</v>
      </c>
      <c r="J35" s="213">
        <v>14</v>
      </c>
      <c r="K35" s="131" t="s">
        <v>480</v>
      </c>
      <c r="L35" s="131" t="s">
        <v>658</v>
      </c>
      <c r="M35" s="131" t="s">
        <v>412</v>
      </c>
      <c r="N35" s="131" t="s">
        <v>659</v>
      </c>
    </row>
    <row r="36" spans="1:14" ht="18.75" customHeight="1" x14ac:dyDescent="0.25">
      <c r="A36" s="130">
        <v>6</v>
      </c>
      <c r="B36" s="131" t="s">
        <v>170</v>
      </c>
      <c r="C36" s="131" t="s">
        <v>171</v>
      </c>
      <c r="D36" s="131" t="s">
        <v>168</v>
      </c>
      <c r="E36" s="132" t="s">
        <v>104</v>
      </c>
      <c r="F36" s="131"/>
      <c r="G36" s="131" t="s">
        <v>383</v>
      </c>
      <c r="H36" s="131" t="s">
        <v>384</v>
      </c>
      <c r="I36" s="131" t="s">
        <v>385</v>
      </c>
      <c r="J36" s="213">
        <v>17</v>
      </c>
      <c r="K36" s="131" t="s">
        <v>36</v>
      </c>
      <c r="L36" s="131" t="s">
        <v>661</v>
      </c>
      <c r="M36" s="131" t="s">
        <v>104</v>
      </c>
      <c r="N36" s="131" t="s">
        <v>657</v>
      </c>
    </row>
    <row r="37" spans="1:14" ht="18.75" customHeight="1" x14ac:dyDescent="0.25">
      <c r="A37" s="130">
        <v>7</v>
      </c>
      <c r="B37" s="131" t="s">
        <v>170</v>
      </c>
      <c r="C37" s="131" t="s">
        <v>171</v>
      </c>
      <c r="D37" s="131" t="s">
        <v>168</v>
      </c>
      <c r="E37" s="132" t="s">
        <v>104</v>
      </c>
      <c r="F37" s="131"/>
      <c r="G37" s="131" t="s">
        <v>387</v>
      </c>
      <c r="H37" s="131" t="s">
        <v>388</v>
      </c>
      <c r="I37" s="131" t="s">
        <v>389</v>
      </c>
      <c r="J37" s="213">
        <v>22</v>
      </c>
      <c r="K37" s="131" t="s">
        <v>480</v>
      </c>
      <c r="L37" s="131" t="s">
        <v>658</v>
      </c>
      <c r="M37" s="131" t="s">
        <v>412</v>
      </c>
      <c r="N37" s="131" t="s">
        <v>659</v>
      </c>
    </row>
    <row r="38" spans="1:14" ht="18.75" customHeight="1" x14ac:dyDescent="0.25">
      <c r="A38" s="130">
        <v>8</v>
      </c>
      <c r="B38" s="131" t="s">
        <v>170</v>
      </c>
      <c r="C38" s="131" t="s">
        <v>171</v>
      </c>
      <c r="D38" s="131" t="s">
        <v>168</v>
      </c>
      <c r="E38" s="132" t="s">
        <v>104</v>
      </c>
      <c r="F38" s="131"/>
      <c r="G38" s="131" t="s">
        <v>391</v>
      </c>
      <c r="H38" s="131" t="s">
        <v>392</v>
      </c>
      <c r="I38" s="131" t="s">
        <v>393</v>
      </c>
      <c r="J38" s="213">
        <v>14</v>
      </c>
      <c r="K38" s="131" t="s">
        <v>480</v>
      </c>
      <c r="L38" s="131" t="s">
        <v>658</v>
      </c>
      <c r="M38" s="131" t="s">
        <v>412</v>
      </c>
      <c r="N38" s="131" t="s">
        <v>659</v>
      </c>
    </row>
    <row r="39" spans="1:14" ht="18.75" customHeight="1" x14ac:dyDescent="0.25">
      <c r="A39" s="130">
        <v>9</v>
      </c>
      <c r="B39" s="131" t="s">
        <v>170</v>
      </c>
      <c r="C39" s="131" t="s">
        <v>171</v>
      </c>
      <c r="D39" s="131" t="s">
        <v>168</v>
      </c>
      <c r="E39" s="132" t="s">
        <v>104</v>
      </c>
      <c r="F39" s="131"/>
      <c r="G39" s="131" t="s">
        <v>395</v>
      </c>
      <c r="H39" s="131" t="s">
        <v>396</v>
      </c>
      <c r="I39" s="131" t="s">
        <v>360</v>
      </c>
      <c r="J39" s="213">
        <v>16</v>
      </c>
      <c r="K39" s="131" t="s">
        <v>36</v>
      </c>
      <c r="L39" s="131" t="s">
        <v>662</v>
      </c>
      <c r="M39" s="131" t="s">
        <v>104</v>
      </c>
      <c r="N39" s="131" t="s">
        <v>657</v>
      </c>
    </row>
    <row r="40" spans="1:14" ht="18.75" customHeight="1" x14ac:dyDescent="0.25">
      <c r="A40" s="130">
        <v>10</v>
      </c>
      <c r="B40" s="131" t="s">
        <v>170</v>
      </c>
      <c r="C40" s="131" t="s">
        <v>171</v>
      </c>
      <c r="D40" s="131" t="s">
        <v>168</v>
      </c>
      <c r="E40" s="132" t="s">
        <v>104</v>
      </c>
      <c r="F40" s="131"/>
      <c r="G40" s="131" t="s">
        <v>399</v>
      </c>
      <c r="H40" s="131" t="s">
        <v>400</v>
      </c>
      <c r="I40" s="131" t="s">
        <v>372</v>
      </c>
      <c r="J40" s="213">
        <v>12</v>
      </c>
      <c r="K40" s="131" t="s">
        <v>480</v>
      </c>
      <c r="L40" s="131" t="s">
        <v>658</v>
      </c>
      <c r="M40" s="131" t="s">
        <v>412</v>
      </c>
      <c r="N40" s="131" t="s">
        <v>659</v>
      </c>
    </row>
    <row r="41" spans="1:14" ht="18.75" customHeight="1" x14ac:dyDescent="0.25">
      <c r="A41" s="130">
        <v>11</v>
      </c>
      <c r="B41" s="131" t="s">
        <v>170</v>
      </c>
      <c r="C41" s="131" t="s">
        <v>171</v>
      </c>
      <c r="D41" s="131" t="s">
        <v>168</v>
      </c>
      <c r="E41" s="132" t="s">
        <v>104</v>
      </c>
      <c r="F41" s="131"/>
      <c r="G41" s="131" t="s">
        <v>402</v>
      </c>
      <c r="H41" s="131" t="s">
        <v>403</v>
      </c>
      <c r="I41" s="131" t="s">
        <v>404</v>
      </c>
      <c r="J41" s="213">
        <v>23</v>
      </c>
      <c r="K41" s="131" t="s">
        <v>36</v>
      </c>
      <c r="L41" s="131" t="s">
        <v>663</v>
      </c>
      <c r="M41" s="131" t="s">
        <v>104</v>
      </c>
      <c r="N41" s="131" t="s">
        <v>657</v>
      </c>
    </row>
    <row r="42" spans="1:14" ht="18.75" customHeight="1" x14ac:dyDescent="0.25">
      <c r="A42" s="130">
        <v>12</v>
      </c>
      <c r="B42" s="131" t="s">
        <v>170</v>
      </c>
      <c r="C42" s="131" t="s">
        <v>171</v>
      </c>
      <c r="D42" s="131" t="s">
        <v>168</v>
      </c>
      <c r="E42" s="132" t="s">
        <v>104</v>
      </c>
      <c r="F42" s="131"/>
      <c r="G42" s="131" t="s">
        <v>406</v>
      </c>
      <c r="H42" s="131" t="s">
        <v>407</v>
      </c>
      <c r="I42" s="131" t="s">
        <v>367</v>
      </c>
      <c r="J42" s="213">
        <v>23</v>
      </c>
      <c r="K42" s="131" t="s">
        <v>480</v>
      </c>
      <c r="L42" s="131" t="s">
        <v>658</v>
      </c>
      <c r="M42" s="131" t="s">
        <v>412</v>
      </c>
      <c r="N42" s="131" t="s">
        <v>659</v>
      </c>
    </row>
    <row r="43" spans="1:14" ht="18.75" customHeight="1" x14ac:dyDescent="0.25">
      <c r="A43" s="130">
        <v>13</v>
      </c>
      <c r="B43" s="131" t="s">
        <v>170</v>
      </c>
      <c r="C43" s="131" t="s">
        <v>171</v>
      </c>
      <c r="D43" s="131" t="s">
        <v>168</v>
      </c>
      <c r="E43" s="132" t="s">
        <v>104</v>
      </c>
      <c r="F43" s="131"/>
      <c r="G43" s="131" t="s">
        <v>409</v>
      </c>
      <c r="H43" s="131" t="s">
        <v>410</v>
      </c>
      <c r="I43" s="131" t="s">
        <v>360</v>
      </c>
      <c r="J43" s="213">
        <v>20</v>
      </c>
      <c r="K43" s="131" t="s">
        <v>36</v>
      </c>
      <c r="L43" s="131" t="s">
        <v>664</v>
      </c>
      <c r="M43" s="131" t="s">
        <v>104</v>
      </c>
      <c r="N43" s="131" t="s">
        <v>657</v>
      </c>
    </row>
    <row r="44" spans="1:14" ht="18.75" customHeight="1" x14ac:dyDescent="0.25">
      <c r="A44" s="130">
        <v>14</v>
      </c>
      <c r="B44" s="131" t="s">
        <v>170</v>
      </c>
      <c r="C44" s="131" t="s">
        <v>171</v>
      </c>
      <c r="D44" s="131" t="s">
        <v>168</v>
      </c>
      <c r="E44" s="132" t="s">
        <v>104</v>
      </c>
      <c r="F44" s="131"/>
      <c r="G44" s="131" t="s">
        <v>415</v>
      </c>
      <c r="H44" s="131" t="s">
        <v>416</v>
      </c>
      <c r="I44" s="131" t="s">
        <v>385</v>
      </c>
      <c r="J44" s="213">
        <v>27</v>
      </c>
      <c r="K44" s="131" t="s">
        <v>36</v>
      </c>
      <c r="L44" s="131" t="s">
        <v>665</v>
      </c>
      <c r="M44" s="131" t="s">
        <v>104</v>
      </c>
      <c r="N44" s="131" t="s">
        <v>657</v>
      </c>
    </row>
    <row r="45" spans="1:14" ht="18.75" customHeight="1" x14ac:dyDescent="0.25">
      <c r="A45" s="130">
        <v>15</v>
      </c>
      <c r="B45" s="131" t="s">
        <v>170</v>
      </c>
      <c r="C45" s="131" t="s">
        <v>171</v>
      </c>
      <c r="D45" s="131" t="s">
        <v>168</v>
      </c>
      <c r="E45" s="132" t="s">
        <v>104</v>
      </c>
      <c r="F45" s="131"/>
      <c r="G45" s="131" t="s">
        <v>418</v>
      </c>
      <c r="H45" s="131" t="s">
        <v>419</v>
      </c>
      <c r="I45" s="131" t="s">
        <v>421</v>
      </c>
      <c r="J45" s="213">
        <v>24</v>
      </c>
      <c r="K45" s="131" t="s">
        <v>480</v>
      </c>
      <c r="L45" s="131" t="s">
        <v>658</v>
      </c>
      <c r="M45" s="131" t="s">
        <v>412</v>
      </c>
      <c r="N45" s="131" t="s">
        <v>659</v>
      </c>
    </row>
    <row r="46" spans="1:14" ht="18.75" customHeight="1" x14ac:dyDescent="0.25">
      <c r="A46" s="130">
        <v>16</v>
      </c>
      <c r="B46" s="131" t="s">
        <v>170</v>
      </c>
      <c r="C46" s="131" t="s">
        <v>171</v>
      </c>
      <c r="D46" s="131" t="s">
        <v>168</v>
      </c>
      <c r="E46" s="132" t="s">
        <v>104</v>
      </c>
      <c r="F46" s="131"/>
      <c r="G46" s="131" t="s">
        <v>423</v>
      </c>
      <c r="H46" s="131" t="s">
        <v>424</v>
      </c>
      <c r="I46" s="131" t="s">
        <v>425</v>
      </c>
      <c r="J46" s="213">
        <v>23</v>
      </c>
      <c r="K46" s="131" t="s">
        <v>36</v>
      </c>
      <c r="L46" s="131" t="s">
        <v>666</v>
      </c>
      <c r="M46" s="131" t="s">
        <v>104</v>
      </c>
      <c r="N46" s="131" t="s">
        <v>657</v>
      </c>
    </row>
    <row r="47" spans="1:14" ht="18.75" customHeight="1" x14ac:dyDescent="0.25">
      <c r="A47" s="130">
        <v>17</v>
      </c>
      <c r="B47" s="131" t="s">
        <v>170</v>
      </c>
      <c r="C47" s="131" t="s">
        <v>171</v>
      </c>
      <c r="D47" s="131" t="s">
        <v>168</v>
      </c>
      <c r="E47" s="132" t="s">
        <v>104</v>
      </c>
      <c r="F47" s="131"/>
      <c r="G47" s="131" t="s">
        <v>427</v>
      </c>
      <c r="H47" s="131" t="s">
        <v>428</v>
      </c>
      <c r="I47" s="131" t="s">
        <v>429</v>
      </c>
      <c r="J47" s="213">
        <v>11</v>
      </c>
      <c r="K47" s="131" t="s">
        <v>480</v>
      </c>
      <c r="L47" s="131" t="s">
        <v>658</v>
      </c>
      <c r="M47" s="131" t="s">
        <v>412</v>
      </c>
      <c r="N47" s="131" t="s">
        <v>659</v>
      </c>
    </row>
    <row r="48" spans="1:14" ht="18.75" customHeight="1" x14ac:dyDescent="0.25">
      <c r="A48" s="130">
        <v>18</v>
      </c>
      <c r="B48" s="131" t="s">
        <v>170</v>
      </c>
      <c r="C48" s="131" t="s">
        <v>171</v>
      </c>
      <c r="D48" s="131" t="s">
        <v>168</v>
      </c>
      <c r="E48" s="132" t="s">
        <v>104</v>
      </c>
      <c r="F48" s="131"/>
      <c r="G48" s="131" t="s">
        <v>431</v>
      </c>
      <c r="H48" s="131" t="s">
        <v>432</v>
      </c>
      <c r="I48" s="131" t="s">
        <v>360</v>
      </c>
      <c r="J48" s="213">
        <v>16</v>
      </c>
      <c r="K48" s="131" t="s">
        <v>36</v>
      </c>
      <c r="L48" s="131" t="s">
        <v>667</v>
      </c>
      <c r="M48" s="131" t="s">
        <v>104</v>
      </c>
      <c r="N48" s="131" t="s">
        <v>657</v>
      </c>
    </row>
    <row r="49" spans="1:14" ht="18.75" customHeight="1" x14ac:dyDescent="0.25">
      <c r="A49" s="130">
        <v>19</v>
      </c>
      <c r="B49" s="131" t="s">
        <v>170</v>
      </c>
      <c r="C49" s="131" t="s">
        <v>171</v>
      </c>
      <c r="D49" s="131" t="s">
        <v>168</v>
      </c>
      <c r="E49" s="132" t="s">
        <v>104</v>
      </c>
      <c r="F49" s="131"/>
      <c r="G49" s="131" t="s">
        <v>434</v>
      </c>
      <c r="H49" s="131" t="s">
        <v>435</v>
      </c>
      <c r="I49" s="131" t="s">
        <v>436</v>
      </c>
      <c r="J49" s="213">
        <v>23</v>
      </c>
      <c r="K49" s="131" t="s">
        <v>480</v>
      </c>
      <c r="L49" s="131" t="s">
        <v>658</v>
      </c>
      <c r="M49" s="131" t="s">
        <v>412</v>
      </c>
      <c r="N49" s="131" t="s">
        <v>659</v>
      </c>
    </row>
    <row r="50" spans="1:14" ht="18.75" customHeight="1" x14ac:dyDescent="0.25">
      <c r="A50" s="130">
        <v>20</v>
      </c>
      <c r="B50" s="131" t="s">
        <v>170</v>
      </c>
      <c r="C50" s="131" t="s">
        <v>171</v>
      </c>
      <c r="D50" s="131" t="s">
        <v>168</v>
      </c>
      <c r="E50" s="132" t="s">
        <v>104</v>
      </c>
      <c r="F50" s="131"/>
      <c r="G50" s="131" t="s">
        <v>438</v>
      </c>
      <c r="H50" s="131" t="s">
        <v>439</v>
      </c>
      <c r="I50" s="131" t="s">
        <v>440</v>
      </c>
      <c r="J50" s="213">
        <v>22</v>
      </c>
      <c r="K50" s="131" t="s">
        <v>36</v>
      </c>
      <c r="L50" s="131" t="s">
        <v>668</v>
      </c>
      <c r="M50" s="131" t="s">
        <v>104</v>
      </c>
      <c r="N50" s="131" t="s">
        <v>657</v>
      </c>
    </row>
    <row r="51" spans="1:14" ht="18.75" customHeight="1" x14ac:dyDescent="0.25">
      <c r="A51" s="130">
        <v>21</v>
      </c>
      <c r="B51" s="131" t="s">
        <v>170</v>
      </c>
      <c r="C51" s="131" t="s">
        <v>171</v>
      </c>
      <c r="D51" s="131" t="s">
        <v>168</v>
      </c>
      <c r="E51" s="132" t="s">
        <v>104</v>
      </c>
      <c r="F51" s="131"/>
      <c r="G51" s="131" t="s">
        <v>442</v>
      </c>
      <c r="H51" s="131" t="s">
        <v>443</v>
      </c>
      <c r="I51" s="131" t="s">
        <v>381</v>
      </c>
      <c r="J51" s="213">
        <v>28</v>
      </c>
      <c r="K51" s="131" t="s">
        <v>480</v>
      </c>
      <c r="L51" s="131" t="s">
        <v>658</v>
      </c>
      <c r="M51" s="131" t="s">
        <v>412</v>
      </c>
      <c r="N51" s="131" t="s">
        <v>659</v>
      </c>
    </row>
    <row r="52" spans="1:14" ht="18.75" customHeight="1" x14ac:dyDescent="0.25">
      <c r="A52" s="130">
        <v>22</v>
      </c>
      <c r="B52" s="131" t="s">
        <v>170</v>
      </c>
      <c r="C52" s="131" t="s">
        <v>171</v>
      </c>
      <c r="D52" s="131" t="s">
        <v>168</v>
      </c>
      <c r="E52" s="132" t="s">
        <v>104</v>
      </c>
      <c r="F52" s="131"/>
      <c r="G52" s="131" t="s">
        <v>445</v>
      </c>
      <c r="H52" s="131" t="s">
        <v>446</v>
      </c>
      <c r="I52" s="131" t="s">
        <v>372</v>
      </c>
      <c r="J52" s="213">
        <v>10</v>
      </c>
      <c r="K52" s="131" t="s">
        <v>36</v>
      </c>
      <c r="L52" s="131" t="s">
        <v>669</v>
      </c>
      <c r="M52" s="131" t="s">
        <v>104</v>
      </c>
      <c r="N52" s="131" t="s">
        <v>657</v>
      </c>
    </row>
    <row r="53" spans="1:14" ht="18.75" customHeight="1" x14ac:dyDescent="0.25">
      <c r="A53" s="130">
        <v>23</v>
      </c>
      <c r="B53" s="131" t="s">
        <v>170</v>
      </c>
      <c r="C53" s="131" t="s">
        <v>171</v>
      </c>
      <c r="D53" s="131" t="s">
        <v>168</v>
      </c>
      <c r="E53" s="132" t="s">
        <v>104</v>
      </c>
      <c r="F53" s="131"/>
      <c r="G53" s="131" t="s">
        <v>449</v>
      </c>
      <c r="H53" s="131" t="s">
        <v>450</v>
      </c>
      <c r="I53" s="131" t="s">
        <v>451</v>
      </c>
      <c r="J53" s="213">
        <v>28</v>
      </c>
      <c r="K53" s="131" t="s">
        <v>36</v>
      </c>
      <c r="L53" s="131" t="s">
        <v>670</v>
      </c>
      <c r="M53" s="131" t="s">
        <v>104</v>
      </c>
      <c r="N53" s="131" t="s">
        <v>657</v>
      </c>
    </row>
    <row r="54" spans="1:14" ht="18.75" customHeight="1" x14ac:dyDescent="0.25">
      <c r="A54" s="130">
        <v>24</v>
      </c>
      <c r="B54" s="131" t="s">
        <v>170</v>
      </c>
      <c r="C54" s="131" t="s">
        <v>171</v>
      </c>
      <c r="D54" s="131" t="s">
        <v>168</v>
      </c>
      <c r="E54" s="132" t="s">
        <v>104</v>
      </c>
      <c r="F54" s="131"/>
      <c r="G54" s="131" t="s">
        <v>453</v>
      </c>
      <c r="H54" s="131" t="s">
        <v>454</v>
      </c>
      <c r="I54" s="131" t="s">
        <v>455</v>
      </c>
      <c r="J54" s="213">
        <v>22</v>
      </c>
      <c r="K54" s="131" t="s">
        <v>480</v>
      </c>
      <c r="L54" s="131" t="s">
        <v>658</v>
      </c>
      <c r="M54" s="131" t="s">
        <v>412</v>
      </c>
      <c r="N54" s="131" t="s">
        <v>659</v>
      </c>
    </row>
    <row r="55" spans="1:14" ht="18.75" customHeight="1" x14ac:dyDescent="0.25">
      <c r="A55" s="130">
        <v>25</v>
      </c>
      <c r="B55" s="131" t="s">
        <v>170</v>
      </c>
      <c r="C55" s="131" t="s">
        <v>171</v>
      </c>
      <c r="D55" s="131" t="s">
        <v>168</v>
      </c>
      <c r="E55" s="132" t="s">
        <v>104</v>
      </c>
      <c r="F55" s="131"/>
      <c r="G55" s="131" t="s">
        <v>457</v>
      </c>
      <c r="H55" s="131" t="s">
        <v>458</v>
      </c>
      <c r="I55" s="131" t="s">
        <v>459</v>
      </c>
      <c r="J55" s="213">
        <v>25</v>
      </c>
      <c r="K55" s="131" t="s">
        <v>36</v>
      </c>
      <c r="L55" s="131" t="s">
        <v>671</v>
      </c>
      <c r="M55" s="131" t="s">
        <v>104</v>
      </c>
      <c r="N55" s="131" t="s">
        <v>657</v>
      </c>
    </row>
    <row r="56" spans="1:14" ht="18.75" customHeight="1" x14ac:dyDescent="0.25">
      <c r="A56" s="130" t="s">
        <v>725</v>
      </c>
      <c r="B56" s="131" t="s">
        <v>170</v>
      </c>
      <c r="C56" s="131" t="s">
        <v>171</v>
      </c>
      <c r="D56" s="131" t="s">
        <v>168</v>
      </c>
      <c r="E56" s="132" t="s">
        <v>104</v>
      </c>
      <c r="F56" s="131"/>
      <c r="G56" s="131" t="s">
        <v>674</v>
      </c>
      <c r="H56" s="131" t="s">
        <v>458</v>
      </c>
      <c r="I56" s="131" t="s">
        <v>377</v>
      </c>
      <c r="J56" s="213">
        <v>10</v>
      </c>
      <c r="K56" s="131"/>
      <c r="L56" s="131"/>
      <c r="M56" s="131"/>
      <c r="N56" s="131"/>
    </row>
    <row r="57" spans="1:14" ht="4.5" customHeight="1" x14ac:dyDescent="0.25">
      <c r="A57" s="105">
        <v>1</v>
      </c>
      <c r="B57" s="105" t="s">
        <v>172</v>
      </c>
      <c r="C57" s="105" t="s">
        <v>173</v>
      </c>
      <c r="D57" s="105" t="s">
        <v>174</v>
      </c>
      <c r="E57" s="105" t="s">
        <v>104</v>
      </c>
      <c r="F57" s="105"/>
      <c r="G57" s="105" t="s">
        <v>353</v>
      </c>
      <c r="H57" s="105" t="s">
        <v>354</v>
      </c>
      <c r="I57" s="105" t="s">
        <v>360</v>
      </c>
      <c r="J57" s="201">
        <v>21</v>
      </c>
      <c r="K57" s="105" t="s">
        <v>36</v>
      </c>
      <c r="L57" s="105" t="s">
        <v>656</v>
      </c>
      <c r="M57" s="105" t="s">
        <v>104</v>
      </c>
      <c r="N57" s="105" t="s">
        <v>657</v>
      </c>
    </row>
    <row r="58" spans="1:14" ht="19.5" customHeight="1" x14ac:dyDescent="0.25">
      <c r="A58" s="273" t="s">
        <v>725</v>
      </c>
      <c r="B58" s="260"/>
      <c r="C58" s="260"/>
      <c r="D58" s="260"/>
      <c r="E58" s="260"/>
      <c r="F58" s="260"/>
      <c r="G58" s="260"/>
      <c r="H58" s="260"/>
      <c r="I58" s="260"/>
      <c r="J58" s="260"/>
      <c r="K58" s="260"/>
      <c r="L58" s="260"/>
      <c r="M58" s="260"/>
      <c r="N58" s="261"/>
    </row>
    <row r="59" spans="1:14" ht="18.75" customHeight="1" x14ac:dyDescent="0.25">
      <c r="A59" s="34">
        <v>3</v>
      </c>
      <c r="B59" s="35" t="s">
        <v>172</v>
      </c>
      <c r="C59" s="35" t="s">
        <v>173</v>
      </c>
      <c r="D59" s="35" t="s">
        <v>174</v>
      </c>
      <c r="E59" s="101" t="s">
        <v>104</v>
      </c>
      <c r="F59" s="35"/>
      <c r="G59" s="35" t="s">
        <v>369</v>
      </c>
      <c r="H59" s="35" t="s">
        <v>370</v>
      </c>
      <c r="I59" s="35" t="s">
        <v>372</v>
      </c>
      <c r="J59" s="198">
        <v>19</v>
      </c>
      <c r="K59" s="35" t="s">
        <v>480</v>
      </c>
      <c r="L59" s="35" t="s">
        <v>658</v>
      </c>
      <c r="M59" s="35" t="s">
        <v>412</v>
      </c>
      <c r="N59" s="35" t="s">
        <v>659</v>
      </c>
    </row>
    <row r="60" spans="1:14" ht="18.75" customHeight="1" x14ac:dyDescent="0.25">
      <c r="A60" s="127">
        <v>4</v>
      </c>
      <c r="B60" s="128" t="s">
        <v>172</v>
      </c>
      <c r="C60" s="128" t="s">
        <v>173</v>
      </c>
      <c r="D60" s="128" t="s">
        <v>174</v>
      </c>
      <c r="E60" s="129" t="s">
        <v>104</v>
      </c>
      <c r="F60" s="128"/>
      <c r="G60" s="128" t="s">
        <v>374</v>
      </c>
      <c r="H60" s="128" t="s">
        <v>375</v>
      </c>
      <c r="I60" s="128" t="s">
        <v>377</v>
      </c>
      <c r="J60" s="212">
        <v>34</v>
      </c>
      <c r="K60" s="128" t="s">
        <v>36</v>
      </c>
      <c r="L60" s="128" t="s">
        <v>660</v>
      </c>
      <c r="M60" s="128" t="s">
        <v>104</v>
      </c>
      <c r="N60" s="128" t="s">
        <v>657</v>
      </c>
    </row>
    <row r="61" spans="1:14" ht="18.75" customHeight="1" x14ac:dyDescent="0.25">
      <c r="A61" s="127">
        <v>5</v>
      </c>
      <c r="B61" s="128" t="s">
        <v>172</v>
      </c>
      <c r="C61" s="128" t="s">
        <v>173</v>
      </c>
      <c r="D61" s="128" t="s">
        <v>174</v>
      </c>
      <c r="E61" s="129" t="s">
        <v>104</v>
      </c>
      <c r="F61" s="128"/>
      <c r="G61" s="128" t="s">
        <v>379</v>
      </c>
      <c r="H61" s="128" t="s">
        <v>380</v>
      </c>
      <c r="I61" s="128" t="s">
        <v>381</v>
      </c>
      <c r="J61" s="212">
        <v>22</v>
      </c>
      <c r="K61" s="128" t="s">
        <v>480</v>
      </c>
      <c r="L61" s="128" t="s">
        <v>658</v>
      </c>
      <c r="M61" s="128" t="s">
        <v>412</v>
      </c>
      <c r="N61" s="128" t="s">
        <v>659</v>
      </c>
    </row>
    <row r="62" spans="1:14" ht="18.75" customHeight="1" x14ac:dyDescent="0.25">
      <c r="A62" s="127">
        <v>6</v>
      </c>
      <c r="B62" s="128" t="s">
        <v>172</v>
      </c>
      <c r="C62" s="128" t="s">
        <v>173</v>
      </c>
      <c r="D62" s="128" t="s">
        <v>174</v>
      </c>
      <c r="E62" s="129" t="s">
        <v>104</v>
      </c>
      <c r="F62" s="128"/>
      <c r="G62" s="128" t="s">
        <v>383</v>
      </c>
      <c r="H62" s="128" t="s">
        <v>384</v>
      </c>
      <c r="I62" s="128" t="s">
        <v>385</v>
      </c>
      <c r="J62" s="212">
        <v>23</v>
      </c>
      <c r="K62" s="128" t="s">
        <v>36</v>
      </c>
      <c r="L62" s="128" t="s">
        <v>661</v>
      </c>
      <c r="M62" s="128" t="s">
        <v>104</v>
      </c>
      <c r="N62" s="128" t="s">
        <v>657</v>
      </c>
    </row>
    <row r="63" spans="1:14" ht="18.75" customHeight="1" x14ac:dyDescent="0.25">
      <c r="A63" s="127">
        <v>7</v>
      </c>
      <c r="B63" s="128" t="s">
        <v>172</v>
      </c>
      <c r="C63" s="128" t="s">
        <v>173</v>
      </c>
      <c r="D63" s="128" t="s">
        <v>174</v>
      </c>
      <c r="E63" s="129" t="s">
        <v>104</v>
      </c>
      <c r="F63" s="128"/>
      <c r="G63" s="128" t="s">
        <v>387</v>
      </c>
      <c r="H63" s="128" t="s">
        <v>388</v>
      </c>
      <c r="I63" s="128" t="s">
        <v>389</v>
      </c>
      <c r="J63" s="212">
        <v>27</v>
      </c>
      <c r="K63" s="128" t="s">
        <v>480</v>
      </c>
      <c r="L63" s="128" t="s">
        <v>658</v>
      </c>
      <c r="M63" s="128" t="s">
        <v>412</v>
      </c>
      <c r="N63" s="128" t="s">
        <v>659</v>
      </c>
    </row>
    <row r="64" spans="1:14" ht="18.75" customHeight="1" x14ac:dyDescent="0.25">
      <c r="A64" s="127">
        <v>8</v>
      </c>
      <c r="B64" s="128" t="s">
        <v>172</v>
      </c>
      <c r="C64" s="128" t="s">
        <v>173</v>
      </c>
      <c r="D64" s="128" t="s">
        <v>174</v>
      </c>
      <c r="E64" s="129" t="s">
        <v>104</v>
      </c>
      <c r="F64" s="128"/>
      <c r="G64" s="128" t="s">
        <v>391</v>
      </c>
      <c r="H64" s="128" t="s">
        <v>392</v>
      </c>
      <c r="I64" s="128" t="s">
        <v>393</v>
      </c>
      <c r="J64" s="212">
        <v>33</v>
      </c>
      <c r="K64" s="128" t="s">
        <v>480</v>
      </c>
      <c r="L64" s="128" t="s">
        <v>658</v>
      </c>
      <c r="M64" s="128" t="s">
        <v>412</v>
      </c>
      <c r="N64" s="128" t="s">
        <v>659</v>
      </c>
    </row>
    <row r="65" spans="1:14" ht="18.75" customHeight="1" x14ac:dyDescent="0.25">
      <c r="A65" s="127">
        <v>9</v>
      </c>
      <c r="B65" s="128" t="s">
        <v>172</v>
      </c>
      <c r="C65" s="128" t="s">
        <v>173</v>
      </c>
      <c r="D65" s="128" t="s">
        <v>174</v>
      </c>
      <c r="E65" s="129" t="s">
        <v>104</v>
      </c>
      <c r="F65" s="128"/>
      <c r="G65" s="128" t="s">
        <v>395</v>
      </c>
      <c r="H65" s="128" t="s">
        <v>396</v>
      </c>
      <c r="I65" s="128" t="s">
        <v>360</v>
      </c>
      <c r="J65" s="212">
        <v>33</v>
      </c>
      <c r="K65" s="128" t="s">
        <v>36</v>
      </c>
      <c r="L65" s="128" t="s">
        <v>662</v>
      </c>
      <c r="M65" s="128" t="s">
        <v>104</v>
      </c>
      <c r="N65" s="128" t="s">
        <v>657</v>
      </c>
    </row>
    <row r="66" spans="1:14" ht="18.75" customHeight="1" x14ac:dyDescent="0.25">
      <c r="A66" s="127">
        <v>10</v>
      </c>
      <c r="B66" s="128" t="s">
        <v>172</v>
      </c>
      <c r="C66" s="128" t="s">
        <v>173</v>
      </c>
      <c r="D66" s="128" t="s">
        <v>174</v>
      </c>
      <c r="E66" s="129" t="s">
        <v>104</v>
      </c>
      <c r="F66" s="128"/>
      <c r="G66" s="128" t="s">
        <v>399</v>
      </c>
      <c r="H66" s="128" t="s">
        <v>400</v>
      </c>
      <c r="I66" s="128" t="s">
        <v>372</v>
      </c>
      <c r="J66" s="212">
        <v>27</v>
      </c>
      <c r="K66" s="128" t="s">
        <v>480</v>
      </c>
      <c r="L66" s="128" t="s">
        <v>658</v>
      </c>
      <c r="M66" s="128" t="s">
        <v>412</v>
      </c>
      <c r="N66" s="128" t="s">
        <v>659</v>
      </c>
    </row>
    <row r="67" spans="1:14" ht="18.75" customHeight="1" x14ac:dyDescent="0.25">
      <c r="A67" s="127">
        <v>11</v>
      </c>
      <c r="B67" s="128" t="s">
        <v>172</v>
      </c>
      <c r="C67" s="128" t="s">
        <v>173</v>
      </c>
      <c r="D67" s="128" t="s">
        <v>174</v>
      </c>
      <c r="E67" s="129" t="s">
        <v>104</v>
      </c>
      <c r="F67" s="128"/>
      <c r="G67" s="128" t="s">
        <v>402</v>
      </c>
      <c r="H67" s="128" t="s">
        <v>403</v>
      </c>
      <c r="I67" s="128" t="s">
        <v>404</v>
      </c>
      <c r="J67" s="212">
        <v>35</v>
      </c>
      <c r="K67" s="128" t="s">
        <v>36</v>
      </c>
      <c r="L67" s="128" t="s">
        <v>663</v>
      </c>
      <c r="M67" s="128" t="s">
        <v>104</v>
      </c>
      <c r="N67" s="128" t="s">
        <v>657</v>
      </c>
    </row>
    <row r="68" spans="1:14" ht="18.75" customHeight="1" x14ac:dyDescent="0.25">
      <c r="A68" s="127">
        <v>12</v>
      </c>
      <c r="B68" s="128" t="s">
        <v>172</v>
      </c>
      <c r="C68" s="128" t="s">
        <v>173</v>
      </c>
      <c r="D68" s="128" t="s">
        <v>174</v>
      </c>
      <c r="E68" s="129" t="s">
        <v>104</v>
      </c>
      <c r="F68" s="128"/>
      <c r="G68" s="128" t="s">
        <v>406</v>
      </c>
      <c r="H68" s="128" t="s">
        <v>407</v>
      </c>
      <c r="I68" s="128" t="s">
        <v>367</v>
      </c>
      <c r="J68" s="212">
        <v>29</v>
      </c>
      <c r="K68" s="128" t="s">
        <v>480</v>
      </c>
      <c r="L68" s="128" t="s">
        <v>658</v>
      </c>
      <c r="M68" s="128" t="s">
        <v>412</v>
      </c>
      <c r="N68" s="128" t="s">
        <v>659</v>
      </c>
    </row>
    <row r="69" spans="1:14" ht="18.75" customHeight="1" x14ac:dyDescent="0.25">
      <c r="A69" s="127">
        <v>13</v>
      </c>
      <c r="B69" s="128" t="s">
        <v>172</v>
      </c>
      <c r="C69" s="128" t="s">
        <v>173</v>
      </c>
      <c r="D69" s="128" t="s">
        <v>174</v>
      </c>
      <c r="E69" s="129" t="s">
        <v>104</v>
      </c>
      <c r="F69" s="128"/>
      <c r="G69" s="128" t="s">
        <v>409</v>
      </c>
      <c r="H69" s="128" t="s">
        <v>410</v>
      </c>
      <c r="I69" s="128" t="s">
        <v>360</v>
      </c>
      <c r="J69" s="212">
        <v>17</v>
      </c>
      <c r="K69" s="128" t="s">
        <v>36</v>
      </c>
      <c r="L69" s="128" t="s">
        <v>664</v>
      </c>
      <c r="M69" s="128" t="s">
        <v>104</v>
      </c>
      <c r="N69" s="128" t="s">
        <v>657</v>
      </c>
    </row>
    <row r="70" spans="1:14" ht="18.75" customHeight="1" x14ac:dyDescent="0.25">
      <c r="A70" s="127">
        <v>14</v>
      </c>
      <c r="B70" s="128" t="s">
        <v>172</v>
      </c>
      <c r="C70" s="128" t="s">
        <v>173</v>
      </c>
      <c r="D70" s="128" t="s">
        <v>174</v>
      </c>
      <c r="E70" s="129" t="s">
        <v>104</v>
      </c>
      <c r="F70" s="128"/>
      <c r="G70" s="128" t="s">
        <v>415</v>
      </c>
      <c r="H70" s="128" t="s">
        <v>416</v>
      </c>
      <c r="I70" s="128" t="s">
        <v>385</v>
      </c>
      <c r="J70" s="212">
        <v>25</v>
      </c>
      <c r="K70" s="128" t="s">
        <v>36</v>
      </c>
      <c r="L70" s="128" t="s">
        <v>665</v>
      </c>
      <c r="M70" s="128" t="s">
        <v>104</v>
      </c>
      <c r="N70" s="128" t="s">
        <v>657</v>
      </c>
    </row>
    <row r="71" spans="1:14" ht="18.75" customHeight="1" x14ac:dyDescent="0.25">
      <c r="A71" s="127">
        <v>15</v>
      </c>
      <c r="B71" s="128" t="s">
        <v>172</v>
      </c>
      <c r="C71" s="128" t="s">
        <v>173</v>
      </c>
      <c r="D71" s="128" t="s">
        <v>174</v>
      </c>
      <c r="E71" s="129" t="s">
        <v>104</v>
      </c>
      <c r="F71" s="128"/>
      <c r="G71" s="128" t="s">
        <v>418</v>
      </c>
      <c r="H71" s="128" t="s">
        <v>419</v>
      </c>
      <c r="I71" s="128" t="s">
        <v>421</v>
      </c>
      <c r="J71" s="212">
        <v>17</v>
      </c>
      <c r="K71" s="128" t="s">
        <v>480</v>
      </c>
      <c r="L71" s="128" t="s">
        <v>658</v>
      </c>
      <c r="M71" s="128" t="s">
        <v>412</v>
      </c>
      <c r="N71" s="128" t="s">
        <v>659</v>
      </c>
    </row>
    <row r="72" spans="1:14" ht="18.75" customHeight="1" x14ac:dyDescent="0.25">
      <c r="A72" s="127">
        <v>16</v>
      </c>
      <c r="B72" s="128" t="s">
        <v>172</v>
      </c>
      <c r="C72" s="128" t="s">
        <v>173</v>
      </c>
      <c r="D72" s="128" t="s">
        <v>174</v>
      </c>
      <c r="E72" s="129" t="s">
        <v>104</v>
      </c>
      <c r="F72" s="128"/>
      <c r="G72" s="128" t="s">
        <v>423</v>
      </c>
      <c r="H72" s="128" t="s">
        <v>424</v>
      </c>
      <c r="I72" s="128" t="s">
        <v>425</v>
      </c>
      <c r="J72" s="212">
        <v>18</v>
      </c>
      <c r="K72" s="128" t="s">
        <v>36</v>
      </c>
      <c r="L72" s="128" t="s">
        <v>666</v>
      </c>
      <c r="M72" s="128" t="s">
        <v>104</v>
      </c>
      <c r="N72" s="128" t="s">
        <v>657</v>
      </c>
    </row>
    <row r="73" spans="1:14" ht="18.75" customHeight="1" x14ac:dyDescent="0.25">
      <c r="A73" s="127">
        <v>17</v>
      </c>
      <c r="B73" s="128" t="s">
        <v>172</v>
      </c>
      <c r="C73" s="128" t="s">
        <v>173</v>
      </c>
      <c r="D73" s="128" t="s">
        <v>174</v>
      </c>
      <c r="E73" s="129" t="s">
        <v>104</v>
      </c>
      <c r="F73" s="128"/>
      <c r="G73" s="128" t="s">
        <v>427</v>
      </c>
      <c r="H73" s="128" t="s">
        <v>428</v>
      </c>
      <c r="I73" s="128" t="s">
        <v>429</v>
      </c>
      <c r="J73" s="212">
        <v>23</v>
      </c>
      <c r="K73" s="128" t="s">
        <v>480</v>
      </c>
      <c r="L73" s="128" t="s">
        <v>658</v>
      </c>
      <c r="M73" s="128" t="s">
        <v>412</v>
      </c>
      <c r="N73" s="128" t="s">
        <v>659</v>
      </c>
    </row>
    <row r="74" spans="1:14" ht="18.75" customHeight="1" x14ac:dyDescent="0.25">
      <c r="A74" s="127">
        <v>18</v>
      </c>
      <c r="B74" s="128" t="s">
        <v>172</v>
      </c>
      <c r="C74" s="128" t="s">
        <v>173</v>
      </c>
      <c r="D74" s="128" t="s">
        <v>174</v>
      </c>
      <c r="E74" s="129" t="s">
        <v>104</v>
      </c>
      <c r="F74" s="128"/>
      <c r="G74" s="128" t="s">
        <v>431</v>
      </c>
      <c r="H74" s="128" t="s">
        <v>432</v>
      </c>
      <c r="I74" s="128" t="s">
        <v>360</v>
      </c>
      <c r="J74" s="212">
        <v>25</v>
      </c>
      <c r="K74" s="128" t="s">
        <v>36</v>
      </c>
      <c r="L74" s="128" t="s">
        <v>667</v>
      </c>
      <c r="M74" s="128" t="s">
        <v>104</v>
      </c>
      <c r="N74" s="128" t="s">
        <v>657</v>
      </c>
    </row>
    <row r="75" spans="1:14" ht="18.75" customHeight="1" x14ac:dyDescent="0.25">
      <c r="A75" s="127">
        <v>19</v>
      </c>
      <c r="B75" s="128" t="s">
        <v>172</v>
      </c>
      <c r="C75" s="128" t="s">
        <v>173</v>
      </c>
      <c r="D75" s="128" t="s">
        <v>174</v>
      </c>
      <c r="E75" s="129" t="s">
        <v>104</v>
      </c>
      <c r="F75" s="128"/>
      <c r="G75" s="128" t="s">
        <v>434</v>
      </c>
      <c r="H75" s="128" t="s">
        <v>435</v>
      </c>
      <c r="I75" s="128" t="s">
        <v>436</v>
      </c>
      <c r="J75" s="212">
        <v>10</v>
      </c>
      <c r="K75" s="128" t="s">
        <v>480</v>
      </c>
      <c r="L75" s="128" t="s">
        <v>658</v>
      </c>
      <c r="M75" s="128" t="s">
        <v>412</v>
      </c>
      <c r="N75" s="128" t="s">
        <v>659</v>
      </c>
    </row>
    <row r="76" spans="1:14" ht="18.75" customHeight="1" x14ac:dyDescent="0.25">
      <c r="A76" s="127">
        <v>20</v>
      </c>
      <c r="B76" s="128" t="s">
        <v>172</v>
      </c>
      <c r="C76" s="128" t="s">
        <v>173</v>
      </c>
      <c r="D76" s="128" t="s">
        <v>174</v>
      </c>
      <c r="E76" s="129" t="s">
        <v>104</v>
      </c>
      <c r="F76" s="128"/>
      <c r="G76" s="128" t="s">
        <v>438</v>
      </c>
      <c r="H76" s="128" t="s">
        <v>439</v>
      </c>
      <c r="I76" s="128" t="s">
        <v>440</v>
      </c>
      <c r="J76" s="212">
        <v>22</v>
      </c>
      <c r="K76" s="128" t="s">
        <v>36</v>
      </c>
      <c r="L76" s="128" t="s">
        <v>668</v>
      </c>
      <c r="M76" s="128" t="s">
        <v>104</v>
      </c>
      <c r="N76" s="128" t="s">
        <v>657</v>
      </c>
    </row>
    <row r="77" spans="1:14" ht="18.75" customHeight="1" x14ac:dyDescent="0.25">
      <c r="A77" s="127">
        <v>21</v>
      </c>
      <c r="B77" s="128" t="s">
        <v>172</v>
      </c>
      <c r="C77" s="128" t="s">
        <v>173</v>
      </c>
      <c r="D77" s="128" t="s">
        <v>174</v>
      </c>
      <c r="E77" s="129" t="s">
        <v>104</v>
      </c>
      <c r="F77" s="128"/>
      <c r="G77" s="128" t="s">
        <v>442</v>
      </c>
      <c r="H77" s="128" t="s">
        <v>443</v>
      </c>
      <c r="I77" s="128" t="s">
        <v>381</v>
      </c>
      <c r="J77" s="212">
        <v>20</v>
      </c>
      <c r="K77" s="128" t="s">
        <v>480</v>
      </c>
      <c r="L77" s="128" t="s">
        <v>658</v>
      </c>
      <c r="M77" s="128" t="s">
        <v>412</v>
      </c>
      <c r="N77" s="128" t="s">
        <v>659</v>
      </c>
    </row>
    <row r="78" spans="1:14" ht="18.75" customHeight="1" x14ac:dyDescent="0.25">
      <c r="A78" s="127">
        <v>22</v>
      </c>
      <c r="B78" s="128" t="s">
        <v>172</v>
      </c>
      <c r="C78" s="128" t="s">
        <v>173</v>
      </c>
      <c r="D78" s="128" t="s">
        <v>174</v>
      </c>
      <c r="E78" s="129" t="s">
        <v>104</v>
      </c>
      <c r="F78" s="128"/>
      <c r="G78" s="128" t="s">
        <v>445</v>
      </c>
      <c r="H78" s="128" t="s">
        <v>446</v>
      </c>
      <c r="I78" s="128" t="s">
        <v>372</v>
      </c>
      <c r="J78" s="212">
        <v>31</v>
      </c>
      <c r="K78" s="128" t="s">
        <v>36</v>
      </c>
      <c r="L78" s="128" t="s">
        <v>669</v>
      </c>
      <c r="M78" s="128" t="s">
        <v>104</v>
      </c>
      <c r="N78" s="128" t="s">
        <v>657</v>
      </c>
    </row>
    <row r="79" spans="1:14" ht="18.75" customHeight="1" x14ac:dyDescent="0.25">
      <c r="A79" s="127">
        <v>23</v>
      </c>
      <c r="B79" s="128" t="s">
        <v>172</v>
      </c>
      <c r="C79" s="128" t="s">
        <v>173</v>
      </c>
      <c r="D79" s="128" t="s">
        <v>174</v>
      </c>
      <c r="E79" s="129" t="s">
        <v>104</v>
      </c>
      <c r="F79" s="128"/>
      <c r="G79" s="128" t="s">
        <v>449</v>
      </c>
      <c r="H79" s="128" t="s">
        <v>450</v>
      </c>
      <c r="I79" s="128" t="s">
        <v>451</v>
      </c>
      <c r="J79" s="212">
        <v>31</v>
      </c>
      <c r="K79" s="128" t="s">
        <v>36</v>
      </c>
      <c r="L79" s="128" t="s">
        <v>670</v>
      </c>
      <c r="M79" s="128" t="s">
        <v>104</v>
      </c>
      <c r="N79" s="128" t="s">
        <v>657</v>
      </c>
    </row>
    <row r="80" spans="1:14" ht="18.75" customHeight="1" x14ac:dyDescent="0.25">
      <c r="A80" s="127">
        <v>24</v>
      </c>
      <c r="B80" s="128" t="s">
        <v>172</v>
      </c>
      <c r="C80" s="128" t="s">
        <v>173</v>
      </c>
      <c r="D80" s="128" t="s">
        <v>174</v>
      </c>
      <c r="E80" s="129" t="s">
        <v>104</v>
      </c>
      <c r="F80" s="128"/>
      <c r="G80" s="128" t="s">
        <v>453</v>
      </c>
      <c r="H80" s="128" t="s">
        <v>454</v>
      </c>
      <c r="I80" s="128" t="s">
        <v>455</v>
      </c>
      <c r="J80" s="212">
        <v>35</v>
      </c>
      <c r="K80" s="128" t="s">
        <v>480</v>
      </c>
      <c r="L80" s="128" t="s">
        <v>658</v>
      </c>
      <c r="M80" s="128" t="s">
        <v>412</v>
      </c>
      <c r="N80" s="128" t="s">
        <v>659</v>
      </c>
    </row>
    <row r="81" spans="1:14" ht="18.75" customHeight="1" x14ac:dyDescent="0.25">
      <c r="A81" s="127">
        <v>25</v>
      </c>
      <c r="B81" s="128" t="s">
        <v>172</v>
      </c>
      <c r="C81" s="128" t="s">
        <v>173</v>
      </c>
      <c r="D81" s="128" t="s">
        <v>174</v>
      </c>
      <c r="E81" s="129" t="s">
        <v>104</v>
      </c>
      <c r="F81" s="128"/>
      <c r="G81" s="128" t="s">
        <v>457</v>
      </c>
      <c r="H81" s="128" t="s">
        <v>458</v>
      </c>
      <c r="I81" s="128" t="s">
        <v>459</v>
      </c>
      <c r="J81" s="212">
        <v>22</v>
      </c>
      <c r="K81" s="128" t="s">
        <v>36</v>
      </c>
      <c r="L81" s="128" t="s">
        <v>671</v>
      </c>
      <c r="M81" s="128" t="s">
        <v>104</v>
      </c>
      <c r="N81" s="128" t="s">
        <v>657</v>
      </c>
    </row>
    <row r="82" spans="1:14" ht="18.75" customHeight="1" x14ac:dyDescent="0.25">
      <c r="A82" s="127" t="s">
        <v>726</v>
      </c>
      <c r="B82" s="128" t="s">
        <v>172</v>
      </c>
      <c r="C82" s="128" t="s">
        <v>173</v>
      </c>
      <c r="D82" s="128" t="s">
        <v>174</v>
      </c>
      <c r="E82" s="129" t="s">
        <v>104</v>
      </c>
      <c r="F82" s="128"/>
      <c r="G82" s="128" t="s">
        <v>676</v>
      </c>
      <c r="H82" s="128" t="s">
        <v>454</v>
      </c>
      <c r="I82" s="128" t="s">
        <v>646</v>
      </c>
      <c r="J82" s="212">
        <v>33</v>
      </c>
      <c r="K82" s="128"/>
      <c r="L82" s="128"/>
      <c r="M82" s="128"/>
      <c r="N82" s="128"/>
    </row>
    <row r="83" spans="1:14" ht="18.75" customHeight="1" x14ac:dyDescent="0.25">
      <c r="A83" s="127">
        <v>1</v>
      </c>
      <c r="B83" s="128" t="s">
        <v>175</v>
      </c>
      <c r="C83" s="128" t="s">
        <v>176</v>
      </c>
      <c r="D83" s="128" t="s">
        <v>177</v>
      </c>
      <c r="E83" s="129" t="s">
        <v>104</v>
      </c>
      <c r="F83" s="128"/>
      <c r="G83" s="128" t="s">
        <v>353</v>
      </c>
      <c r="H83" s="128" t="s">
        <v>354</v>
      </c>
      <c r="I83" s="128" t="s">
        <v>360</v>
      </c>
      <c r="J83" s="212">
        <v>10</v>
      </c>
      <c r="K83" s="128" t="s">
        <v>36</v>
      </c>
      <c r="L83" s="128" t="s">
        <v>656</v>
      </c>
      <c r="M83" s="128" t="s">
        <v>104</v>
      </c>
      <c r="N83" s="128" t="s">
        <v>657</v>
      </c>
    </row>
    <row r="84" spans="1:14" ht="4.5" customHeight="1" x14ac:dyDescent="0.25">
      <c r="A84" s="105">
        <v>2</v>
      </c>
      <c r="B84" s="105" t="s">
        <v>175</v>
      </c>
      <c r="C84" s="105" t="s">
        <v>176</v>
      </c>
      <c r="D84" s="105" t="s">
        <v>177</v>
      </c>
      <c r="E84" s="105" t="s">
        <v>104</v>
      </c>
      <c r="F84" s="105"/>
      <c r="G84" s="105" t="s">
        <v>363</v>
      </c>
      <c r="H84" s="105" t="s">
        <v>364</v>
      </c>
      <c r="I84" s="105" t="s">
        <v>367</v>
      </c>
      <c r="J84" s="201">
        <v>19</v>
      </c>
      <c r="K84" s="105" t="s">
        <v>480</v>
      </c>
      <c r="L84" s="105" t="s">
        <v>658</v>
      </c>
      <c r="M84" s="105" t="s">
        <v>412</v>
      </c>
      <c r="N84" s="105" t="s">
        <v>659</v>
      </c>
    </row>
    <row r="85" spans="1:14" ht="19.5" customHeight="1" x14ac:dyDescent="0.25">
      <c r="A85" s="273" t="s">
        <v>726</v>
      </c>
      <c r="B85" s="260"/>
      <c r="C85" s="260"/>
      <c r="D85" s="260"/>
      <c r="E85" s="260"/>
      <c r="F85" s="260"/>
      <c r="G85" s="260"/>
      <c r="H85" s="260"/>
      <c r="I85" s="260"/>
      <c r="J85" s="260"/>
      <c r="K85" s="260"/>
      <c r="L85" s="260"/>
      <c r="M85" s="260"/>
      <c r="N85" s="261"/>
    </row>
    <row r="86" spans="1:14" ht="18.75" customHeight="1" x14ac:dyDescent="0.25">
      <c r="A86" s="34">
        <v>4</v>
      </c>
      <c r="B86" s="35" t="s">
        <v>175</v>
      </c>
      <c r="C86" s="35" t="s">
        <v>176</v>
      </c>
      <c r="D86" s="35" t="s">
        <v>177</v>
      </c>
      <c r="E86" s="101" t="s">
        <v>104</v>
      </c>
      <c r="F86" s="35"/>
      <c r="G86" s="35" t="s">
        <v>374</v>
      </c>
      <c r="H86" s="35" t="s">
        <v>375</v>
      </c>
      <c r="I86" s="35" t="s">
        <v>377</v>
      </c>
      <c r="J86" s="198">
        <v>9</v>
      </c>
      <c r="K86" s="35" t="s">
        <v>36</v>
      </c>
      <c r="L86" s="35" t="s">
        <v>660</v>
      </c>
      <c r="M86" s="35" t="s">
        <v>104</v>
      </c>
      <c r="N86" s="35" t="s">
        <v>657</v>
      </c>
    </row>
    <row r="87" spans="1:14" ht="18.75" customHeight="1" x14ac:dyDescent="0.25">
      <c r="A87" s="130">
        <v>5</v>
      </c>
      <c r="B87" s="131" t="s">
        <v>175</v>
      </c>
      <c r="C87" s="131" t="s">
        <v>176</v>
      </c>
      <c r="D87" s="131" t="s">
        <v>177</v>
      </c>
      <c r="E87" s="132" t="s">
        <v>104</v>
      </c>
      <c r="F87" s="131"/>
      <c r="G87" s="131" t="s">
        <v>379</v>
      </c>
      <c r="H87" s="131" t="s">
        <v>380</v>
      </c>
      <c r="I87" s="131" t="s">
        <v>381</v>
      </c>
      <c r="J87" s="213">
        <v>5</v>
      </c>
      <c r="K87" s="131" t="s">
        <v>480</v>
      </c>
      <c r="L87" s="131" t="s">
        <v>658</v>
      </c>
      <c r="M87" s="131" t="s">
        <v>412</v>
      </c>
      <c r="N87" s="131" t="s">
        <v>659</v>
      </c>
    </row>
    <row r="88" spans="1:14" ht="18.75" customHeight="1" x14ac:dyDescent="0.25">
      <c r="A88" s="130">
        <v>6</v>
      </c>
      <c r="B88" s="131" t="s">
        <v>175</v>
      </c>
      <c r="C88" s="131" t="s">
        <v>176</v>
      </c>
      <c r="D88" s="131" t="s">
        <v>177</v>
      </c>
      <c r="E88" s="132" t="s">
        <v>104</v>
      </c>
      <c r="F88" s="131"/>
      <c r="G88" s="131" t="s">
        <v>383</v>
      </c>
      <c r="H88" s="131" t="s">
        <v>384</v>
      </c>
      <c r="I88" s="131" t="s">
        <v>385</v>
      </c>
      <c r="J88" s="213">
        <v>17</v>
      </c>
      <c r="K88" s="131" t="s">
        <v>36</v>
      </c>
      <c r="L88" s="131" t="s">
        <v>661</v>
      </c>
      <c r="M88" s="131" t="s">
        <v>104</v>
      </c>
      <c r="N88" s="131" t="s">
        <v>657</v>
      </c>
    </row>
    <row r="89" spans="1:14" ht="18.75" customHeight="1" x14ac:dyDescent="0.25">
      <c r="A89" s="130">
        <v>7</v>
      </c>
      <c r="B89" s="131" t="s">
        <v>175</v>
      </c>
      <c r="C89" s="131" t="s">
        <v>176</v>
      </c>
      <c r="D89" s="131" t="s">
        <v>177</v>
      </c>
      <c r="E89" s="132" t="s">
        <v>104</v>
      </c>
      <c r="F89" s="131"/>
      <c r="G89" s="131" t="s">
        <v>387</v>
      </c>
      <c r="H89" s="131" t="s">
        <v>388</v>
      </c>
      <c r="I89" s="131" t="s">
        <v>389</v>
      </c>
      <c r="J89" s="213">
        <v>5</v>
      </c>
      <c r="K89" s="131" t="s">
        <v>480</v>
      </c>
      <c r="L89" s="131" t="s">
        <v>658</v>
      </c>
      <c r="M89" s="131" t="s">
        <v>412</v>
      </c>
      <c r="N89" s="131" t="s">
        <v>659</v>
      </c>
    </row>
    <row r="90" spans="1:14" ht="18.75" customHeight="1" x14ac:dyDescent="0.25">
      <c r="A90" s="130">
        <v>8</v>
      </c>
      <c r="B90" s="131" t="s">
        <v>175</v>
      </c>
      <c r="C90" s="131" t="s">
        <v>176</v>
      </c>
      <c r="D90" s="131" t="s">
        <v>177</v>
      </c>
      <c r="E90" s="132" t="s">
        <v>104</v>
      </c>
      <c r="F90" s="131"/>
      <c r="G90" s="131" t="s">
        <v>391</v>
      </c>
      <c r="H90" s="131" t="s">
        <v>392</v>
      </c>
      <c r="I90" s="131" t="s">
        <v>393</v>
      </c>
      <c r="J90" s="213">
        <v>7</v>
      </c>
      <c r="K90" s="131" t="s">
        <v>480</v>
      </c>
      <c r="L90" s="131" t="s">
        <v>658</v>
      </c>
      <c r="M90" s="131" t="s">
        <v>412</v>
      </c>
      <c r="N90" s="131" t="s">
        <v>659</v>
      </c>
    </row>
    <row r="91" spans="1:14" ht="18.75" customHeight="1" x14ac:dyDescent="0.25">
      <c r="A91" s="130">
        <v>9</v>
      </c>
      <c r="B91" s="131" t="s">
        <v>175</v>
      </c>
      <c r="C91" s="131" t="s">
        <v>176</v>
      </c>
      <c r="D91" s="131" t="s">
        <v>177</v>
      </c>
      <c r="E91" s="132" t="s">
        <v>104</v>
      </c>
      <c r="F91" s="131"/>
      <c r="G91" s="131" t="s">
        <v>395</v>
      </c>
      <c r="H91" s="131" t="s">
        <v>396</v>
      </c>
      <c r="I91" s="131" t="s">
        <v>360</v>
      </c>
      <c r="J91" s="213">
        <v>18</v>
      </c>
      <c r="K91" s="131" t="s">
        <v>36</v>
      </c>
      <c r="L91" s="131" t="s">
        <v>662</v>
      </c>
      <c r="M91" s="131" t="s">
        <v>104</v>
      </c>
      <c r="N91" s="131" t="s">
        <v>657</v>
      </c>
    </row>
    <row r="92" spans="1:14" ht="18.75" customHeight="1" x14ac:dyDescent="0.25">
      <c r="A92" s="130">
        <v>10</v>
      </c>
      <c r="B92" s="131" t="s">
        <v>175</v>
      </c>
      <c r="C92" s="131" t="s">
        <v>176</v>
      </c>
      <c r="D92" s="131" t="s">
        <v>177</v>
      </c>
      <c r="E92" s="132" t="s">
        <v>104</v>
      </c>
      <c r="F92" s="131"/>
      <c r="G92" s="131" t="s">
        <v>399</v>
      </c>
      <c r="H92" s="131" t="s">
        <v>400</v>
      </c>
      <c r="I92" s="131" t="s">
        <v>372</v>
      </c>
      <c r="J92" s="213">
        <v>9</v>
      </c>
      <c r="K92" s="131" t="s">
        <v>480</v>
      </c>
      <c r="L92" s="131" t="s">
        <v>658</v>
      </c>
      <c r="M92" s="131" t="s">
        <v>412</v>
      </c>
      <c r="N92" s="131" t="s">
        <v>659</v>
      </c>
    </row>
    <row r="93" spans="1:14" ht="18.75" customHeight="1" x14ac:dyDescent="0.25">
      <c r="A93" s="130">
        <v>11</v>
      </c>
      <c r="B93" s="131" t="s">
        <v>175</v>
      </c>
      <c r="C93" s="131" t="s">
        <v>176</v>
      </c>
      <c r="D93" s="131" t="s">
        <v>177</v>
      </c>
      <c r="E93" s="132" t="s">
        <v>104</v>
      </c>
      <c r="F93" s="131"/>
      <c r="G93" s="131" t="s">
        <v>402</v>
      </c>
      <c r="H93" s="131" t="s">
        <v>403</v>
      </c>
      <c r="I93" s="131" t="s">
        <v>404</v>
      </c>
      <c r="J93" s="213">
        <v>19</v>
      </c>
      <c r="K93" s="131" t="s">
        <v>36</v>
      </c>
      <c r="L93" s="131" t="s">
        <v>663</v>
      </c>
      <c r="M93" s="131" t="s">
        <v>104</v>
      </c>
      <c r="N93" s="131" t="s">
        <v>657</v>
      </c>
    </row>
    <row r="94" spans="1:14" ht="18.75" customHeight="1" x14ac:dyDescent="0.25">
      <c r="A94" s="130">
        <v>12</v>
      </c>
      <c r="B94" s="131" t="s">
        <v>175</v>
      </c>
      <c r="C94" s="131" t="s">
        <v>176</v>
      </c>
      <c r="D94" s="131" t="s">
        <v>177</v>
      </c>
      <c r="E94" s="132" t="s">
        <v>104</v>
      </c>
      <c r="F94" s="131"/>
      <c r="G94" s="131" t="s">
        <v>406</v>
      </c>
      <c r="H94" s="131" t="s">
        <v>407</v>
      </c>
      <c r="I94" s="131" t="s">
        <v>367</v>
      </c>
      <c r="J94" s="213">
        <v>10</v>
      </c>
      <c r="K94" s="131" t="s">
        <v>480</v>
      </c>
      <c r="L94" s="131" t="s">
        <v>658</v>
      </c>
      <c r="M94" s="131" t="s">
        <v>412</v>
      </c>
      <c r="N94" s="131" t="s">
        <v>659</v>
      </c>
    </row>
    <row r="95" spans="1:14" ht="18.75" customHeight="1" x14ac:dyDescent="0.25">
      <c r="A95" s="130">
        <v>13</v>
      </c>
      <c r="B95" s="131" t="s">
        <v>175</v>
      </c>
      <c r="C95" s="131" t="s">
        <v>176</v>
      </c>
      <c r="D95" s="131" t="s">
        <v>177</v>
      </c>
      <c r="E95" s="132" t="s">
        <v>104</v>
      </c>
      <c r="F95" s="131"/>
      <c r="G95" s="131" t="s">
        <v>409</v>
      </c>
      <c r="H95" s="131" t="s">
        <v>410</v>
      </c>
      <c r="I95" s="131" t="s">
        <v>360</v>
      </c>
      <c r="J95" s="213">
        <v>6</v>
      </c>
      <c r="K95" s="131" t="s">
        <v>36</v>
      </c>
      <c r="L95" s="131" t="s">
        <v>664</v>
      </c>
      <c r="M95" s="131" t="s">
        <v>104</v>
      </c>
      <c r="N95" s="131" t="s">
        <v>657</v>
      </c>
    </row>
    <row r="96" spans="1:14" ht="18.75" customHeight="1" x14ac:dyDescent="0.25">
      <c r="A96" s="130">
        <v>14</v>
      </c>
      <c r="B96" s="131" t="s">
        <v>175</v>
      </c>
      <c r="C96" s="131" t="s">
        <v>176</v>
      </c>
      <c r="D96" s="131" t="s">
        <v>177</v>
      </c>
      <c r="E96" s="132" t="s">
        <v>104</v>
      </c>
      <c r="F96" s="131"/>
      <c r="G96" s="131" t="s">
        <v>415</v>
      </c>
      <c r="H96" s="131" t="s">
        <v>416</v>
      </c>
      <c r="I96" s="131" t="s">
        <v>385</v>
      </c>
      <c r="J96" s="213">
        <v>13</v>
      </c>
      <c r="K96" s="131" t="s">
        <v>36</v>
      </c>
      <c r="L96" s="131" t="s">
        <v>665</v>
      </c>
      <c r="M96" s="131" t="s">
        <v>104</v>
      </c>
      <c r="N96" s="131" t="s">
        <v>657</v>
      </c>
    </row>
    <row r="97" spans="1:14" ht="18.75" customHeight="1" x14ac:dyDescent="0.25">
      <c r="A97" s="130">
        <v>15</v>
      </c>
      <c r="B97" s="131" t="s">
        <v>175</v>
      </c>
      <c r="C97" s="131" t="s">
        <v>176</v>
      </c>
      <c r="D97" s="131" t="s">
        <v>177</v>
      </c>
      <c r="E97" s="132" t="s">
        <v>104</v>
      </c>
      <c r="F97" s="131"/>
      <c r="G97" s="131" t="s">
        <v>418</v>
      </c>
      <c r="H97" s="131" t="s">
        <v>419</v>
      </c>
      <c r="I97" s="131" t="s">
        <v>421</v>
      </c>
      <c r="J97" s="213">
        <v>17</v>
      </c>
      <c r="K97" s="131" t="s">
        <v>480</v>
      </c>
      <c r="L97" s="131" t="s">
        <v>658</v>
      </c>
      <c r="M97" s="131" t="s">
        <v>412</v>
      </c>
      <c r="N97" s="131" t="s">
        <v>659</v>
      </c>
    </row>
    <row r="98" spans="1:14" ht="18.75" customHeight="1" x14ac:dyDescent="0.25">
      <c r="A98" s="130">
        <v>16</v>
      </c>
      <c r="B98" s="131" t="s">
        <v>175</v>
      </c>
      <c r="C98" s="131" t="s">
        <v>176</v>
      </c>
      <c r="D98" s="131" t="s">
        <v>177</v>
      </c>
      <c r="E98" s="132" t="s">
        <v>104</v>
      </c>
      <c r="F98" s="131"/>
      <c r="G98" s="131" t="s">
        <v>423</v>
      </c>
      <c r="H98" s="131" t="s">
        <v>424</v>
      </c>
      <c r="I98" s="131" t="s">
        <v>425</v>
      </c>
      <c r="J98" s="213">
        <v>15</v>
      </c>
      <c r="K98" s="131" t="s">
        <v>36</v>
      </c>
      <c r="L98" s="131" t="s">
        <v>666</v>
      </c>
      <c r="M98" s="131" t="s">
        <v>104</v>
      </c>
      <c r="N98" s="131" t="s">
        <v>657</v>
      </c>
    </row>
    <row r="99" spans="1:14" ht="18.75" customHeight="1" x14ac:dyDescent="0.25">
      <c r="A99" s="130">
        <v>17</v>
      </c>
      <c r="B99" s="131" t="s">
        <v>175</v>
      </c>
      <c r="C99" s="131" t="s">
        <v>176</v>
      </c>
      <c r="D99" s="131" t="s">
        <v>177</v>
      </c>
      <c r="E99" s="132" t="s">
        <v>104</v>
      </c>
      <c r="F99" s="131"/>
      <c r="G99" s="131" t="s">
        <v>427</v>
      </c>
      <c r="H99" s="131" t="s">
        <v>428</v>
      </c>
      <c r="I99" s="131" t="s">
        <v>429</v>
      </c>
      <c r="J99" s="213">
        <v>11</v>
      </c>
      <c r="K99" s="131" t="s">
        <v>480</v>
      </c>
      <c r="L99" s="131" t="s">
        <v>658</v>
      </c>
      <c r="M99" s="131" t="s">
        <v>412</v>
      </c>
      <c r="N99" s="131" t="s">
        <v>659</v>
      </c>
    </row>
    <row r="100" spans="1:14" ht="18.75" customHeight="1" x14ac:dyDescent="0.25">
      <c r="A100" s="130">
        <v>18</v>
      </c>
      <c r="B100" s="131" t="s">
        <v>175</v>
      </c>
      <c r="C100" s="131" t="s">
        <v>176</v>
      </c>
      <c r="D100" s="131" t="s">
        <v>177</v>
      </c>
      <c r="E100" s="132" t="s">
        <v>104</v>
      </c>
      <c r="F100" s="131"/>
      <c r="G100" s="131" t="s">
        <v>431</v>
      </c>
      <c r="H100" s="131" t="s">
        <v>432</v>
      </c>
      <c r="I100" s="131" t="s">
        <v>360</v>
      </c>
      <c r="J100" s="213">
        <v>19</v>
      </c>
      <c r="K100" s="131" t="s">
        <v>36</v>
      </c>
      <c r="L100" s="131" t="s">
        <v>667</v>
      </c>
      <c r="M100" s="131" t="s">
        <v>104</v>
      </c>
      <c r="N100" s="131" t="s">
        <v>657</v>
      </c>
    </row>
    <row r="101" spans="1:14" ht="18.75" customHeight="1" x14ac:dyDescent="0.25">
      <c r="A101" s="130">
        <v>19</v>
      </c>
      <c r="B101" s="131" t="s">
        <v>175</v>
      </c>
      <c r="C101" s="131" t="s">
        <v>176</v>
      </c>
      <c r="D101" s="131" t="s">
        <v>177</v>
      </c>
      <c r="E101" s="132" t="s">
        <v>104</v>
      </c>
      <c r="F101" s="131"/>
      <c r="G101" s="131" t="s">
        <v>434</v>
      </c>
      <c r="H101" s="131" t="s">
        <v>435</v>
      </c>
      <c r="I101" s="131" t="s">
        <v>436</v>
      </c>
      <c r="J101" s="213">
        <v>15</v>
      </c>
      <c r="K101" s="131" t="s">
        <v>480</v>
      </c>
      <c r="L101" s="131" t="s">
        <v>658</v>
      </c>
      <c r="M101" s="131" t="s">
        <v>412</v>
      </c>
      <c r="N101" s="131" t="s">
        <v>659</v>
      </c>
    </row>
    <row r="102" spans="1:14" ht="18.75" customHeight="1" x14ac:dyDescent="0.25">
      <c r="A102" s="130">
        <v>20</v>
      </c>
      <c r="B102" s="131" t="s">
        <v>175</v>
      </c>
      <c r="C102" s="131" t="s">
        <v>176</v>
      </c>
      <c r="D102" s="131" t="s">
        <v>177</v>
      </c>
      <c r="E102" s="132" t="s">
        <v>104</v>
      </c>
      <c r="F102" s="131"/>
      <c r="G102" s="131" t="s">
        <v>438</v>
      </c>
      <c r="H102" s="131" t="s">
        <v>439</v>
      </c>
      <c r="I102" s="131" t="s">
        <v>440</v>
      </c>
      <c r="J102" s="213">
        <v>15</v>
      </c>
      <c r="K102" s="131" t="s">
        <v>36</v>
      </c>
      <c r="L102" s="131" t="s">
        <v>668</v>
      </c>
      <c r="M102" s="131" t="s">
        <v>104</v>
      </c>
      <c r="N102" s="131" t="s">
        <v>657</v>
      </c>
    </row>
    <row r="103" spans="1:14" ht="18.75" customHeight="1" x14ac:dyDescent="0.25">
      <c r="A103" s="130">
        <v>21</v>
      </c>
      <c r="B103" s="131" t="s">
        <v>175</v>
      </c>
      <c r="C103" s="131" t="s">
        <v>176</v>
      </c>
      <c r="D103" s="131" t="s">
        <v>177</v>
      </c>
      <c r="E103" s="132" t="s">
        <v>104</v>
      </c>
      <c r="F103" s="131"/>
      <c r="G103" s="131" t="s">
        <v>442</v>
      </c>
      <c r="H103" s="131" t="s">
        <v>443</v>
      </c>
      <c r="I103" s="131" t="s">
        <v>381</v>
      </c>
      <c r="J103" s="213">
        <v>17</v>
      </c>
      <c r="K103" s="131" t="s">
        <v>480</v>
      </c>
      <c r="L103" s="131" t="s">
        <v>658</v>
      </c>
      <c r="M103" s="131" t="s">
        <v>412</v>
      </c>
      <c r="N103" s="131" t="s">
        <v>659</v>
      </c>
    </row>
    <row r="104" spans="1:14" ht="18.75" customHeight="1" x14ac:dyDescent="0.25">
      <c r="A104" s="130">
        <v>22</v>
      </c>
      <c r="B104" s="131" t="s">
        <v>175</v>
      </c>
      <c r="C104" s="131" t="s">
        <v>176</v>
      </c>
      <c r="D104" s="131" t="s">
        <v>177</v>
      </c>
      <c r="E104" s="132" t="s">
        <v>104</v>
      </c>
      <c r="F104" s="131"/>
      <c r="G104" s="131" t="s">
        <v>445</v>
      </c>
      <c r="H104" s="131" t="s">
        <v>446</v>
      </c>
      <c r="I104" s="131" t="s">
        <v>372</v>
      </c>
      <c r="J104" s="213">
        <v>13</v>
      </c>
      <c r="K104" s="131" t="s">
        <v>36</v>
      </c>
      <c r="L104" s="131" t="s">
        <v>669</v>
      </c>
      <c r="M104" s="131" t="s">
        <v>104</v>
      </c>
      <c r="N104" s="131" t="s">
        <v>657</v>
      </c>
    </row>
    <row r="105" spans="1:14" ht="18.75" customHeight="1" x14ac:dyDescent="0.25">
      <c r="A105" s="130">
        <v>23</v>
      </c>
      <c r="B105" s="131" t="s">
        <v>175</v>
      </c>
      <c r="C105" s="131" t="s">
        <v>176</v>
      </c>
      <c r="D105" s="131" t="s">
        <v>177</v>
      </c>
      <c r="E105" s="132" t="s">
        <v>104</v>
      </c>
      <c r="F105" s="131"/>
      <c r="G105" s="131" t="s">
        <v>449</v>
      </c>
      <c r="H105" s="131" t="s">
        <v>450</v>
      </c>
      <c r="I105" s="131" t="s">
        <v>451</v>
      </c>
      <c r="J105" s="213">
        <v>18</v>
      </c>
      <c r="K105" s="131" t="s">
        <v>36</v>
      </c>
      <c r="L105" s="131" t="s">
        <v>670</v>
      </c>
      <c r="M105" s="131" t="s">
        <v>104</v>
      </c>
      <c r="N105" s="131" t="s">
        <v>657</v>
      </c>
    </row>
    <row r="106" spans="1:14" ht="18.75" customHeight="1" x14ac:dyDescent="0.25">
      <c r="A106" s="130">
        <v>24</v>
      </c>
      <c r="B106" s="131" t="s">
        <v>175</v>
      </c>
      <c r="C106" s="131" t="s">
        <v>176</v>
      </c>
      <c r="D106" s="131" t="s">
        <v>177</v>
      </c>
      <c r="E106" s="132" t="s">
        <v>104</v>
      </c>
      <c r="F106" s="131"/>
      <c r="G106" s="131" t="s">
        <v>453</v>
      </c>
      <c r="H106" s="131" t="s">
        <v>454</v>
      </c>
      <c r="I106" s="131" t="s">
        <v>455</v>
      </c>
      <c r="J106" s="213">
        <v>13</v>
      </c>
      <c r="K106" s="131" t="s">
        <v>480</v>
      </c>
      <c r="L106" s="131" t="s">
        <v>658</v>
      </c>
      <c r="M106" s="131" t="s">
        <v>412</v>
      </c>
      <c r="N106" s="131" t="s">
        <v>659</v>
      </c>
    </row>
    <row r="107" spans="1:14" ht="18.75" customHeight="1" x14ac:dyDescent="0.25">
      <c r="A107" s="130">
        <v>25</v>
      </c>
      <c r="B107" s="131" t="s">
        <v>175</v>
      </c>
      <c r="C107" s="131" t="s">
        <v>176</v>
      </c>
      <c r="D107" s="131" t="s">
        <v>177</v>
      </c>
      <c r="E107" s="132" t="s">
        <v>104</v>
      </c>
      <c r="F107" s="131"/>
      <c r="G107" s="131" t="s">
        <v>457</v>
      </c>
      <c r="H107" s="131" t="s">
        <v>458</v>
      </c>
      <c r="I107" s="131" t="s">
        <v>459</v>
      </c>
      <c r="J107" s="213">
        <v>7</v>
      </c>
      <c r="K107" s="131" t="s">
        <v>36</v>
      </c>
      <c r="L107" s="131" t="s">
        <v>671</v>
      </c>
      <c r="M107" s="131" t="s">
        <v>104</v>
      </c>
      <c r="N107" s="131" t="s">
        <v>657</v>
      </c>
    </row>
    <row r="108" spans="1:14" ht="18.75" customHeight="1" x14ac:dyDescent="0.25">
      <c r="A108" s="130" t="s">
        <v>727</v>
      </c>
      <c r="B108" s="131" t="s">
        <v>175</v>
      </c>
      <c r="C108" s="131" t="s">
        <v>176</v>
      </c>
      <c r="D108" s="131" t="s">
        <v>177</v>
      </c>
      <c r="E108" s="132" t="s">
        <v>104</v>
      </c>
      <c r="F108" s="131"/>
      <c r="G108" s="131" t="s">
        <v>678</v>
      </c>
      <c r="H108" s="131" t="s">
        <v>450</v>
      </c>
      <c r="I108" s="131" t="s">
        <v>377</v>
      </c>
      <c r="J108" s="213">
        <v>20</v>
      </c>
      <c r="K108" s="131"/>
      <c r="L108" s="131"/>
      <c r="M108" s="131"/>
      <c r="N108" s="131"/>
    </row>
    <row r="109" spans="1:14" ht="18.75" customHeight="1" x14ac:dyDescent="0.25">
      <c r="A109" s="130">
        <v>1</v>
      </c>
      <c r="B109" s="131" t="s">
        <v>178</v>
      </c>
      <c r="C109" s="131" t="s">
        <v>179</v>
      </c>
      <c r="D109" s="131" t="s">
        <v>180</v>
      </c>
      <c r="E109" s="132" t="s">
        <v>104</v>
      </c>
      <c r="F109" s="131"/>
      <c r="G109" s="131" t="s">
        <v>353</v>
      </c>
      <c r="H109" s="131" t="s">
        <v>354</v>
      </c>
      <c r="I109" s="131" t="s">
        <v>360</v>
      </c>
      <c r="J109" s="213">
        <v>5</v>
      </c>
      <c r="K109" s="131" t="s">
        <v>36</v>
      </c>
      <c r="L109" s="131" t="s">
        <v>656</v>
      </c>
      <c r="M109" s="131" t="s">
        <v>104</v>
      </c>
      <c r="N109" s="131" t="s">
        <v>657</v>
      </c>
    </row>
    <row r="110" spans="1:14" ht="18.75" customHeight="1" x14ac:dyDescent="0.25">
      <c r="A110" s="130">
        <v>2</v>
      </c>
      <c r="B110" s="131" t="s">
        <v>178</v>
      </c>
      <c r="C110" s="131" t="s">
        <v>179</v>
      </c>
      <c r="D110" s="131" t="s">
        <v>180</v>
      </c>
      <c r="E110" s="132" t="s">
        <v>104</v>
      </c>
      <c r="F110" s="131"/>
      <c r="G110" s="131" t="s">
        <v>363</v>
      </c>
      <c r="H110" s="131" t="s">
        <v>364</v>
      </c>
      <c r="I110" s="131" t="s">
        <v>367</v>
      </c>
      <c r="J110" s="213">
        <v>6</v>
      </c>
      <c r="K110" s="131" t="s">
        <v>480</v>
      </c>
      <c r="L110" s="131" t="s">
        <v>658</v>
      </c>
      <c r="M110" s="131" t="s">
        <v>412</v>
      </c>
      <c r="N110" s="131" t="s">
        <v>659</v>
      </c>
    </row>
    <row r="111" spans="1:14" ht="13.5" customHeight="1" x14ac:dyDescent="0.25">
      <c r="A111" s="105">
        <v>3</v>
      </c>
      <c r="B111" s="105" t="s">
        <v>178</v>
      </c>
      <c r="C111" s="105" t="s">
        <v>179</v>
      </c>
      <c r="D111" s="105" t="s">
        <v>180</v>
      </c>
      <c r="E111" s="105" t="s">
        <v>104</v>
      </c>
      <c r="F111" s="105"/>
      <c r="G111" s="105" t="s">
        <v>369</v>
      </c>
      <c r="H111" s="105" t="s">
        <v>370</v>
      </c>
      <c r="I111" s="105" t="s">
        <v>372</v>
      </c>
      <c r="J111" s="201">
        <v>16</v>
      </c>
      <c r="K111" s="105" t="s">
        <v>480</v>
      </c>
      <c r="L111" s="105" t="s">
        <v>658</v>
      </c>
      <c r="M111" s="105" t="s">
        <v>412</v>
      </c>
      <c r="N111" s="105" t="s">
        <v>659</v>
      </c>
    </row>
    <row r="112" spans="1:14" ht="19.5" customHeight="1" x14ac:dyDescent="0.25">
      <c r="A112" s="273" t="s">
        <v>727</v>
      </c>
      <c r="B112" s="260"/>
      <c r="C112" s="260"/>
      <c r="D112" s="260"/>
      <c r="E112" s="260"/>
      <c r="F112" s="260"/>
      <c r="G112" s="260"/>
      <c r="H112" s="260"/>
      <c r="I112" s="260"/>
      <c r="J112" s="260"/>
      <c r="K112" s="260"/>
      <c r="L112" s="260"/>
      <c r="M112" s="260"/>
      <c r="N112" s="261"/>
    </row>
    <row r="113" spans="1:14" ht="18.75" customHeight="1" x14ac:dyDescent="0.25">
      <c r="A113" s="34">
        <v>5</v>
      </c>
      <c r="B113" s="35" t="s">
        <v>178</v>
      </c>
      <c r="C113" s="35" t="s">
        <v>179</v>
      </c>
      <c r="D113" s="35" t="s">
        <v>180</v>
      </c>
      <c r="E113" s="101" t="s">
        <v>104</v>
      </c>
      <c r="F113" s="35"/>
      <c r="G113" s="35" t="s">
        <v>379</v>
      </c>
      <c r="H113" s="35" t="s">
        <v>380</v>
      </c>
      <c r="I113" s="35" t="s">
        <v>381</v>
      </c>
      <c r="J113" s="198">
        <v>12</v>
      </c>
      <c r="K113" s="35" t="s">
        <v>480</v>
      </c>
      <c r="L113" s="35" t="s">
        <v>658</v>
      </c>
      <c r="M113" s="35" t="s">
        <v>412</v>
      </c>
      <c r="N113" s="35" t="s">
        <v>659</v>
      </c>
    </row>
    <row r="114" spans="1:14" ht="18.75" customHeight="1" x14ac:dyDescent="0.25">
      <c r="A114" s="127">
        <v>6</v>
      </c>
      <c r="B114" s="128" t="s">
        <v>178</v>
      </c>
      <c r="C114" s="128" t="s">
        <v>179</v>
      </c>
      <c r="D114" s="128" t="s">
        <v>180</v>
      </c>
      <c r="E114" s="129" t="s">
        <v>104</v>
      </c>
      <c r="F114" s="128"/>
      <c r="G114" s="128" t="s">
        <v>383</v>
      </c>
      <c r="H114" s="128" t="s">
        <v>384</v>
      </c>
      <c r="I114" s="128" t="s">
        <v>385</v>
      </c>
      <c r="J114" s="212">
        <v>7</v>
      </c>
      <c r="K114" s="128" t="s">
        <v>36</v>
      </c>
      <c r="L114" s="128" t="s">
        <v>661</v>
      </c>
      <c r="M114" s="128" t="s">
        <v>104</v>
      </c>
      <c r="N114" s="128" t="s">
        <v>657</v>
      </c>
    </row>
    <row r="115" spans="1:14" ht="18.75" customHeight="1" x14ac:dyDescent="0.25">
      <c r="A115" s="127">
        <v>7</v>
      </c>
      <c r="B115" s="128" t="s">
        <v>178</v>
      </c>
      <c r="C115" s="128" t="s">
        <v>179</v>
      </c>
      <c r="D115" s="128" t="s">
        <v>180</v>
      </c>
      <c r="E115" s="129" t="s">
        <v>104</v>
      </c>
      <c r="F115" s="128"/>
      <c r="G115" s="128" t="s">
        <v>387</v>
      </c>
      <c r="H115" s="128" t="s">
        <v>388</v>
      </c>
      <c r="I115" s="128" t="s">
        <v>389</v>
      </c>
      <c r="J115" s="212">
        <v>6</v>
      </c>
      <c r="K115" s="128" t="s">
        <v>480</v>
      </c>
      <c r="L115" s="128" t="s">
        <v>658</v>
      </c>
      <c r="M115" s="128" t="s">
        <v>412</v>
      </c>
      <c r="N115" s="128" t="s">
        <v>659</v>
      </c>
    </row>
    <row r="116" spans="1:14" ht="18.75" customHeight="1" x14ac:dyDescent="0.25">
      <c r="A116" s="127">
        <v>8</v>
      </c>
      <c r="B116" s="128" t="s">
        <v>178</v>
      </c>
      <c r="C116" s="128" t="s">
        <v>179</v>
      </c>
      <c r="D116" s="128" t="s">
        <v>180</v>
      </c>
      <c r="E116" s="129" t="s">
        <v>104</v>
      </c>
      <c r="F116" s="128"/>
      <c r="G116" s="128" t="s">
        <v>391</v>
      </c>
      <c r="H116" s="128" t="s">
        <v>392</v>
      </c>
      <c r="I116" s="128" t="s">
        <v>393</v>
      </c>
      <c r="J116" s="212">
        <v>5</v>
      </c>
      <c r="K116" s="128" t="s">
        <v>480</v>
      </c>
      <c r="L116" s="128" t="s">
        <v>658</v>
      </c>
      <c r="M116" s="128" t="s">
        <v>412</v>
      </c>
      <c r="N116" s="128" t="s">
        <v>659</v>
      </c>
    </row>
    <row r="117" spans="1:14" ht="18.75" customHeight="1" x14ac:dyDescent="0.25">
      <c r="A117" s="127">
        <v>9</v>
      </c>
      <c r="B117" s="128" t="s">
        <v>178</v>
      </c>
      <c r="C117" s="128" t="s">
        <v>179</v>
      </c>
      <c r="D117" s="128" t="s">
        <v>180</v>
      </c>
      <c r="E117" s="129" t="s">
        <v>104</v>
      </c>
      <c r="F117" s="128"/>
      <c r="G117" s="128" t="s">
        <v>395</v>
      </c>
      <c r="H117" s="128" t="s">
        <v>396</v>
      </c>
      <c r="I117" s="128" t="s">
        <v>360</v>
      </c>
      <c r="J117" s="212">
        <v>12</v>
      </c>
      <c r="K117" s="128" t="s">
        <v>36</v>
      </c>
      <c r="L117" s="128" t="s">
        <v>662</v>
      </c>
      <c r="M117" s="128" t="s">
        <v>104</v>
      </c>
      <c r="N117" s="128" t="s">
        <v>657</v>
      </c>
    </row>
    <row r="118" spans="1:14" ht="18.75" customHeight="1" x14ac:dyDescent="0.25">
      <c r="A118" s="127">
        <v>10</v>
      </c>
      <c r="B118" s="128" t="s">
        <v>178</v>
      </c>
      <c r="C118" s="128" t="s">
        <v>179</v>
      </c>
      <c r="D118" s="128" t="s">
        <v>180</v>
      </c>
      <c r="E118" s="129" t="s">
        <v>104</v>
      </c>
      <c r="F118" s="128"/>
      <c r="G118" s="128" t="s">
        <v>399</v>
      </c>
      <c r="H118" s="128" t="s">
        <v>400</v>
      </c>
      <c r="I118" s="128" t="s">
        <v>372</v>
      </c>
      <c r="J118" s="212">
        <v>11</v>
      </c>
      <c r="K118" s="128" t="s">
        <v>480</v>
      </c>
      <c r="L118" s="128" t="s">
        <v>658</v>
      </c>
      <c r="M118" s="128" t="s">
        <v>412</v>
      </c>
      <c r="N118" s="128" t="s">
        <v>659</v>
      </c>
    </row>
    <row r="119" spans="1:14" ht="18.75" customHeight="1" x14ac:dyDescent="0.25">
      <c r="A119" s="127">
        <v>11</v>
      </c>
      <c r="B119" s="128" t="s">
        <v>178</v>
      </c>
      <c r="C119" s="128" t="s">
        <v>179</v>
      </c>
      <c r="D119" s="128" t="s">
        <v>180</v>
      </c>
      <c r="E119" s="129" t="s">
        <v>104</v>
      </c>
      <c r="F119" s="128"/>
      <c r="G119" s="128" t="s">
        <v>402</v>
      </c>
      <c r="H119" s="128" t="s">
        <v>403</v>
      </c>
      <c r="I119" s="128" t="s">
        <v>404</v>
      </c>
      <c r="J119" s="212">
        <v>5</v>
      </c>
      <c r="K119" s="128" t="s">
        <v>36</v>
      </c>
      <c r="L119" s="128" t="s">
        <v>663</v>
      </c>
      <c r="M119" s="128" t="s">
        <v>104</v>
      </c>
      <c r="N119" s="128" t="s">
        <v>657</v>
      </c>
    </row>
    <row r="120" spans="1:14" ht="18.75" customHeight="1" x14ac:dyDescent="0.25">
      <c r="A120" s="127">
        <v>12</v>
      </c>
      <c r="B120" s="128" t="s">
        <v>178</v>
      </c>
      <c r="C120" s="128" t="s">
        <v>179</v>
      </c>
      <c r="D120" s="128" t="s">
        <v>180</v>
      </c>
      <c r="E120" s="129" t="s">
        <v>104</v>
      </c>
      <c r="F120" s="128"/>
      <c r="G120" s="128" t="s">
        <v>406</v>
      </c>
      <c r="H120" s="128" t="s">
        <v>407</v>
      </c>
      <c r="I120" s="128" t="s">
        <v>367</v>
      </c>
      <c r="J120" s="212">
        <v>9</v>
      </c>
      <c r="K120" s="128" t="s">
        <v>480</v>
      </c>
      <c r="L120" s="128" t="s">
        <v>658</v>
      </c>
      <c r="M120" s="128" t="s">
        <v>412</v>
      </c>
      <c r="N120" s="128" t="s">
        <v>659</v>
      </c>
    </row>
    <row r="121" spans="1:14" ht="18.75" customHeight="1" x14ac:dyDescent="0.25">
      <c r="A121" s="127">
        <v>13</v>
      </c>
      <c r="B121" s="128" t="s">
        <v>178</v>
      </c>
      <c r="C121" s="128" t="s">
        <v>179</v>
      </c>
      <c r="D121" s="128" t="s">
        <v>180</v>
      </c>
      <c r="E121" s="129" t="s">
        <v>104</v>
      </c>
      <c r="F121" s="128"/>
      <c r="G121" s="128" t="s">
        <v>409</v>
      </c>
      <c r="H121" s="128" t="s">
        <v>410</v>
      </c>
      <c r="I121" s="128" t="s">
        <v>360</v>
      </c>
      <c r="J121" s="212">
        <v>12</v>
      </c>
      <c r="K121" s="128" t="s">
        <v>36</v>
      </c>
      <c r="L121" s="128" t="s">
        <v>664</v>
      </c>
      <c r="M121" s="128" t="s">
        <v>104</v>
      </c>
      <c r="N121" s="128" t="s">
        <v>657</v>
      </c>
    </row>
    <row r="122" spans="1:14" ht="18.75" customHeight="1" x14ac:dyDescent="0.25">
      <c r="A122" s="127">
        <v>14</v>
      </c>
      <c r="B122" s="128" t="s">
        <v>178</v>
      </c>
      <c r="C122" s="128" t="s">
        <v>179</v>
      </c>
      <c r="D122" s="128" t="s">
        <v>180</v>
      </c>
      <c r="E122" s="129" t="s">
        <v>104</v>
      </c>
      <c r="F122" s="128"/>
      <c r="G122" s="128" t="s">
        <v>415</v>
      </c>
      <c r="H122" s="128" t="s">
        <v>416</v>
      </c>
      <c r="I122" s="128" t="s">
        <v>385</v>
      </c>
      <c r="J122" s="212">
        <v>9</v>
      </c>
      <c r="K122" s="128" t="s">
        <v>36</v>
      </c>
      <c r="L122" s="128" t="s">
        <v>665</v>
      </c>
      <c r="M122" s="128" t="s">
        <v>104</v>
      </c>
      <c r="N122" s="128" t="s">
        <v>657</v>
      </c>
    </row>
    <row r="123" spans="1:14" ht="18.75" customHeight="1" x14ac:dyDescent="0.25">
      <c r="A123" s="127">
        <v>15</v>
      </c>
      <c r="B123" s="128" t="s">
        <v>178</v>
      </c>
      <c r="C123" s="128" t="s">
        <v>179</v>
      </c>
      <c r="D123" s="128" t="s">
        <v>180</v>
      </c>
      <c r="E123" s="129" t="s">
        <v>104</v>
      </c>
      <c r="F123" s="128"/>
      <c r="G123" s="128" t="s">
        <v>418</v>
      </c>
      <c r="H123" s="128" t="s">
        <v>419</v>
      </c>
      <c r="I123" s="128" t="s">
        <v>421</v>
      </c>
      <c r="J123" s="212">
        <v>20</v>
      </c>
      <c r="K123" s="128" t="s">
        <v>480</v>
      </c>
      <c r="L123" s="128" t="s">
        <v>658</v>
      </c>
      <c r="M123" s="128" t="s">
        <v>412</v>
      </c>
      <c r="N123" s="128" t="s">
        <v>659</v>
      </c>
    </row>
    <row r="124" spans="1:14" ht="18.75" customHeight="1" x14ac:dyDescent="0.25">
      <c r="A124" s="127">
        <v>16</v>
      </c>
      <c r="B124" s="128" t="s">
        <v>178</v>
      </c>
      <c r="C124" s="128" t="s">
        <v>179</v>
      </c>
      <c r="D124" s="128" t="s">
        <v>180</v>
      </c>
      <c r="E124" s="129" t="s">
        <v>104</v>
      </c>
      <c r="F124" s="128"/>
      <c r="G124" s="128" t="s">
        <v>423</v>
      </c>
      <c r="H124" s="128" t="s">
        <v>424</v>
      </c>
      <c r="I124" s="128" t="s">
        <v>425</v>
      </c>
      <c r="J124" s="212">
        <v>8</v>
      </c>
      <c r="K124" s="128" t="s">
        <v>36</v>
      </c>
      <c r="L124" s="128" t="s">
        <v>666</v>
      </c>
      <c r="M124" s="128" t="s">
        <v>104</v>
      </c>
      <c r="N124" s="128" t="s">
        <v>657</v>
      </c>
    </row>
    <row r="125" spans="1:14" ht="18.75" customHeight="1" x14ac:dyDescent="0.25">
      <c r="A125" s="127">
        <v>17</v>
      </c>
      <c r="B125" s="128" t="s">
        <v>178</v>
      </c>
      <c r="C125" s="128" t="s">
        <v>179</v>
      </c>
      <c r="D125" s="128" t="s">
        <v>180</v>
      </c>
      <c r="E125" s="129" t="s">
        <v>104</v>
      </c>
      <c r="F125" s="128"/>
      <c r="G125" s="128" t="s">
        <v>427</v>
      </c>
      <c r="H125" s="128" t="s">
        <v>428</v>
      </c>
      <c r="I125" s="128" t="s">
        <v>429</v>
      </c>
      <c r="J125" s="212">
        <v>11</v>
      </c>
      <c r="K125" s="128" t="s">
        <v>480</v>
      </c>
      <c r="L125" s="128" t="s">
        <v>658</v>
      </c>
      <c r="M125" s="128" t="s">
        <v>412</v>
      </c>
      <c r="N125" s="128" t="s">
        <v>659</v>
      </c>
    </row>
    <row r="126" spans="1:14" ht="18.75" customHeight="1" x14ac:dyDescent="0.25">
      <c r="A126" s="127">
        <v>18</v>
      </c>
      <c r="B126" s="128" t="s">
        <v>178</v>
      </c>
      <c r="C126" s="128" t="s">
        <v>179</v>
      </c>
      <c r="D126" s="128" t="s">
        <v>180</v>
      </c>
      <c r="E126" s="129" t="s">
        <v>104</v>
      </c>
      <c r="F126" s="128"/>
      <c r="G126" s="128" t="s">
        <v>431</v>
      </c>
      <c r="H126" s="128" t="s">
        <v>432</v>
      </c>
      <c r="I126" s="128" t="s">
        <v>360</v>
      </c>
      <c r="J126" s="212">
        <v>19</v>
      </c>
      <c r="K126" s="128" t="s">
        <v>36</v>
      </c>
      <c r="L126" s="128" t="s">
        <v>667</v>
      </c>
      <c r="M126" s="128" t="s">
        <v>104</v>
      </c>
      <c r="N126" s="128" t="s">
        <v>657</v>
      </c>
    </row>
    <row r="127" spans="1:14" ht="18.75" customHeight="1" x14ac:dyDescent="0.25">
      <c r="A127" s="127">
        <v>19</v>
      </c>
      <c r="B127" s="128" t="s">
        <v>178</v>
      </c>
      <c r="C127" s="128" t="s">
        <v>179</v>
      </c>
      <c r="D127" s="128" t="s">
        <v>180</v>
      </c>
      <c r="E127" s="129" t="s">
        <v>104</v>
      </c>
      <c r="F127" s="128"/>
      <c r="G127" s="128" t="s">
        <v>434</v>
      </c>
      <c r="H127" s="128" t="s">
        <v>435</v>
      </c>
      <c r="I127" s="128" t="s">
        <v>436</v>
      </c>
      <c r="J127" s="212">
        <v>13</v>
      </c>
      <c r="K127" s="128" t="s">
        <v>480</v>
      </c>
      <c r="L127" s="128" t="s">
        <v>658</v>
      </c>
      <c r="M127" s="128" t="s">
        <v>412</v>
      </c>
      <c r="N127" s="128" t="s">
        <v>659</v>
      </c>
    </row>
    <row r="128" spans="1:14" ht="18.75" customHeight="1" x14ac:dyDescent="0.25">
      <c r="A128" s="127">
        <v>20</v>
      </c>
      <c r="B128" s="128" t="s">
        <v>178</v>
      </c>
      <c r="C128" s="128" t="s">
        <v>179</v>
      </c>
      <c r="D128" s="128" t="s">
        <v>180</v>
      </c>
      <c r="E128" s="129" t="s">
        <v>104</v>
      </c>
      <c r="F128" s="128"/>
      <c r="G128" s="128" t="s">
        <v>438</v>
      </c>
      <c r="H128" s="128" t="s">
        <v>439</v>
      </c>
      <c r="I128" s="128" t="s">
        <v>440</v>
      </c>
      <c r="J128" s="212">
        <v>16</v>
      </c>
      <c r="K128" s="128" t="s">
        <v>36</v>
      </c>
      <c r="L128" s="128" t="s">
        <v>668</v>
      </c>
      <c r="M128" s="128" t="s">
        <v>104</v>
      </c>
      <c r="N128" s="128" t="s">
        <v>657</v>
      </c>
    </row>
    <row r="129" spans="1:14" ht="18.75" customHeight="1" x14ac:dyDescent="0.25">
      <c r="A129" s="127">
        <v>21</v>
      </c>
      <c r="B129" s="128" t="s">
        <v>178</v>
      </c>
      <c r="C129" s="128" t="s">
        <v>179</v>
      </c>
      <c r="D129" s="128" t="s">
        <v>180</v>
      </c>
      <c r="E129" s="129" t="s">
        <v>104</v>
      </c>
      <c r="F129" s="128"/>
      <c r="G129" s="128" t="s">
        <v>442</v>
      </c>
      <c r="H129" s="128" t="s">
        <v>443</v>
      </c>
      <c r="I129" s="128" t="s">
        <v>381</v>
      </c>
      <c r="J129" s="212">
        <v>10</v>
      </c>
      <c r="K129" s="128" t="s">
        <v>480</v>
      </c>
      <c r="L129" s="128" t="s">
        <v>658</v>
      </c>
      <c r="M129" s="128" t="s">
        <v>412</v>
      </c>
      <c r="N129" s="128" t="s">
        <v>659</v>
      </c>
    </row>
    <row r="130" spans="1:14" ht="18.75" customHeight="1" x14ac:dyDescent="0.25">
      <c r="A130" s="127">
        <v>22</v>
      </c>
      <c r="B130" s="128" t="s">
        <v>178</v>
      </c>
      <c r="C130" s="128" t="s">
        <v>179</v>
      </c>
      <c r="D130" s="128" t="s">
        <v>180</v>
      </c>
      <c r="E130" s="129" t="s">
        <v>104</v>
      </c>
      <c r="F130" s="128"/>
      <c r="G130" s="128" t="s">
        <v>445</v>
      </c>
      <c r="H130" s="128" t="s">
        <v>446</v>
      </c>
      <c r="I130" s="128" t="s">
        <v>372</v>
      </c>
      <c r="J130" s="212">
        <v>8</v>
      </c>
      <c r="K130" s="128" t="s">
        <v>36</v>
      </c>
      <c r="L130" s="128" t="s">
        <v>669</v>
      </c>
      <c r="M130" s="128" t="s">
        <v>104</v>
      </c>
      <c r="N130" s="128" t="s">
        <v>657</v>
      </c>
    </row>
    <row r="131" spans="1:14" ht="18.75" customHeight="1" x14ac:dyDescent="0.25">
      <c r="A131" s="127">
        <v>23</v>
      </c>
      <c r="B131" s="128" t="s">
        <v>178</v>
      </c>
      <c r="C131" s="128" t="s">
        <v>179</v>
      </c>
      <c r="D131" s="128" t="s">
        <v>180</v>
      </c>
      <c r="E131" s="129" t="s">
        <v>104</v>
      </c>
      <c r="F131" s="128"/>
      <c r="G131" s="128" t="s">
        <v>449</v>
      </c>
      <c r="H131" s="128" t="s">
        <v>450</v>
      </c>
      <c r="I131" s="128" t="s">
        <v>451</v>
      </c>
      <c r="J131" s="212">
        <v>10</v>
      </c>
      <c r="K131" s="128" t="s">
        <v>36</v>
      </c>
      <c r="L131" s="128" t="s">
        <v>670</v>
      </c>
      <c r="M131" s="128" t="s">
        <v>104</v>
      </c>
      <c r="N131" s="128" t="s">
        <v>657</v>
      </c>
    </row>
    <row r="132" spans="1:14" ht="18.75" customHeight="1" x14ac:dyDescent="0.25">
      <c r="A132" s="127">
        <v>24</v>
      </c>
      <c r="B132" s="128" t="s">
        <v>178</v>
      </c>
      <c r="C132" s="128" t="s">
        <v>179</v>
      </c>
      <c r="D132" s="128" t="s">
        <v>180</v>
      </c>
      <c r="E132" s="129" t="s">
        <v>104</v>
      </c>
      <c r="F132" s="128"/>
      <c r="G132" s="128" t="s">
        <v>453</v>
      </c>
      <c r="H132" s="128" t="s">
        <v>454</v>
      </c>
      <c r="I132" s="128" t="s">
        <v>455</v>
      </c>
      <c r="J132" s="212">
        <v>14</v>
      </c>
      <c r="K132" s="128" t="s">
        <v>480</v>
      </c>
      <c r="L132" s="128" t="s">
        <v>658</v>
      </c>
      <c r="M132" s="128" t="s">
        <v>412</v>
      </c>
      <c r="N132" s="128" t="s">
        <v>659</v>
      </c>
    </row>
    <row r="133" spans="1:14" ht="18.75" customHeight="1" x14ac:dyDescent="0.25">
      <c r="A133" s="127">
        <v>25</v>
      </c>
      <c r="B133" s="128" t="s">
        <v>178</v>
      </c>
      <c r="C133" s="128" t="s">
        <v>179</v>
      </c>
      <c r="D133" s="128" t="s">
        <v>180</v>
      </c>
      <c r="E133" s="129" t="s">
        <v>104</v>
      </c>
      <c r="F133" s="128"/>
      <c r="G133" s="128" t="s">
        <v>457</v>
      </c>
      <c r="H133" s="128" t="s">
        <v>458</v>
      </c>
      <c r="I133" s="128" t="s">
        <v>459</v>
      </c>
      <c r="J133" s="212">
        <v>8</v>
      </c>
      <c r="K133" s="128" t="s">
        <v>36</v>
      </c>
      <c r="L133" s="128" t="s">
        <v>671</v>
      </c>
      <c r="M133" s="128" t="s">
        <v>104</v>
      </c>
      <c r="N133" s="128" t="s">
        <v>657</v>
      </c>
    </row>
    <row r="134" spans="1:14" ht="18.75" customHeight="1" x14ac:dyDescent="0.25">
      <c r="A134" s="127" t="s">
        <v>728</v>
      </c>
      <c r="B134" s="128" t="s">
        <v>178</v>
      </c>
      <c r="C134" s="128" t="s">
        <v>179</v>
      </c>
      <c r="D134" s="128" t="s">
        <v>180</v>
      </c>
      <c r="E134" s="129" t="s">
        <v>104</v>
      </c>
      <c r="F134" s="128"/>
      <c r="G134" s="128" t="s">
        <v>680</v>
      </c>
      <c r="H134" s="128" t="s">
        <v>446</v>
      </c>
      <c r="I134" s="128" t="s">
        <v>389</v>
      </c>
      <c r="J134" s="212">
        <v>5</v>
      </c>
      <c r="K134" s="128"/>
      <c r="L134" s="128"/>
      <c r="M134" s="128"/>
      <c r="N134" s="128"/>
    </row>
    <row r="135" spans="1:14" ht="18.75" customHeight="1" x14ac:dyDescent="0.25">
      <c r="A135" s="127">
        <v>1</v>
      </c>
      <c r="B135" s="128" t="s">
        <v>181</v>
      </c>
      <c r="C135" s="128" t="s">
        <v>182</v>
      </c>
      <c r="D135" s="128" t="s">
        <v>183</v>
      </c>
      <c r="E135" s="129" t="s">
        <v>104</v>
      </c>
      <c r="F135" s="128"/>
      <c r="G135" s="128" t="s">
        <v>353</v>
      </c>
      <c r="H135" s="128" t="s">
        <v>354</v>
      </c>
      <c r="I135" s="128" t="s">
        <v>360</v>
      </c>
      <c r="J135" s="212">
        <v>19</v>
      </c>
      <c r="K135" s="128" t="s">
        <v>36</v>
      </c>
      <c r="L135" s="128" t="s">
        <v>656</v>
      </c>
      <c r="M135" s="128" t="s">
        <v>104</v>
      </c>
      <c r="N135" s="128" t="s">
        <v>657</v>
      </c>
    </row>
    <row r="136" spans="1:14" ht="18.75" customHeight="1" x14ac:dyDescent="0.25">
      <c r="A136" s="127">
        <v>2</v>
      </c>
      <c r="B136" s="128" t="s">
        <v>181</v>
      </c>
      <c r="C136" s="128" t="s">
        <v>182</v>
      </c>
      <c r="D136" s="128" t="s">
        <v>183</v>
      </c>
      <c r="E136" s="129" t="s">
        <v>104</v>
      </c>
      <c r="F136" s="128"/>
      <c r="G136" s="128" t="s">
        <v>363</v>
      </c>
      <c r="H136" s="128" t="s">
        <v>364</v>
      </c>
      <c r="I136" s="128" t="s">
        <v>367</v>
      </c>
      <c r="J136" s="212">
        <v>28</v>
      </c>
      <c r="K136" s="128" t="s">
        <v>480</v>
      </c>
      <c r="L136" s="128" t="s">
        <v>658</v>
      </c>
      <c r="M136" s="128" t="s">
        <v>412</v>
      </c>
      <c r="N136" s="128" t="s">
        <v>659</v>
      </c>
    </row>
    <row r="137" spans="1:14" ht="18.75" customHeight="1" x14ac:dyDescent="0.25">
      <c r="A137" s="127">
        <v>3</v>
      </c>
      <c r="B137" s="128" t="s">
        <v>181</v>
      </c>
      <c r="C137" s="128" t="s">
        <v>182</v>
      </c>
      <c r="D137" s="128" t="s">
        <v>183</v>
      </c>
      <c r="E137" s="129" t="s">
        <v>104</v>
      </c>
      <c r="F137" s="128"/>
      <c r="G137" s="128" t="s">
        <v>369</v>
      </c>
      <c r="H137" s="128" t="s">
        <v>370</v>
      </c>
      <c r="I137" s="128" t="s">
        <v>372</v>
      </c>
      <c r="J137" s="212">
        <v>22</v>
      </c>
      <c r="K137" s="128" t="s">
        <v>480</v>
      </c>
      <c r="L137" s="128" t="s">
        <v>658</v>
      </c>
      <c r="M137" s="128" t="s">
        <v>412</v>
      </c>
      <c r="N137" s="128" t="s">
        <v>659</v>
      </c>
    </row>
    <row r="138" spans="1:14" ht="4.5" customHeight="1" x14ac:dyDescent="0.25">
      <c r="A138" s="105">
        <v>4</v>
      </c>
      <c r="B138" s="105" t="s">
        <v>181</v>
      </c>
      <c r="C138" s="105" t="s">
        <v>182</v>
      </c>
      <c r="D138" s="105" t="s">
        <v>183</v>
      </c>
      <c r="E138" s="105" t="s">
        <v>104</v>
      </c>
      <c r="F138" s="105"/>
      <c r="G138" s="105" t="s">
        <v>374</v>
      </c>
      <c r="H138" s="105" t="s">
        <v>375</v>
      </c>
      <c r="I138" s="105" t="s">
        <v>377</v>
      </c>
      <c r="J138" s="201">
        <v>22</v>
      </c>
      <c r="K138" s="105" t="s">
        <v>36</v>
      </c>
      <c r="L138" s="105" t="s">
        <v>660</v>
      </c>
      <c r="M138" s="105" t="s">
        <v>104</v>
      </c>
      <c r="N138" s="105" t="s">
        <v>657</v>
      </c>
    </row>
    <row r="139" spans="1:14" ht="19.5" customHeight="1" x14ac:dyDescent="0.25">
      <c r="A139" s="273" t="s">
        <v>728</v>
      </c>
      <c r="B139" s="260"/>
      <c r="C139" s="260"/>
      <c r="D139" s="260"/>
      <c r="E139" s="260"/>
      <c r="F139" s="260"/>
      <c r="G139" s="260"/>
      <c r="H139" s="260"/>
      <c r="I139" s="260"/>
      <c r="J139" s="260"/>
      <c r="K139" s="260"/>
      <c r="L139" s="260"/>
      <c r="M139" s="260"/>
      <c r="N139" s="261"/>
    </row>
    <row r="140" spans="1:14" ht="18.75" customHeight="1" x14ac:dyDescent="0.25">
      <c r="A140" s="34">
        <v>6</v>
      </c>
      <c r="B140" s="35" t="s">
        <v>181</v>
      </c>
      <c r="C140" s="35" t="s">
        <v>182</v>
      </c>
      <c r="D140" s="35" t="s">
        <v>183</v>
      </c>
      <c r="E140" s="101" t="s">
        <v>104</v>
      </c>
      <c r="F140" s="35"/>
      <c r="G140" s="35" t="s">
        <v>383</v>
      </c>
      <c r="H140" s="35" t="s">
        <v>384</v>
      </c>
      <c r="I140" s="35" t="s">
        <v>385</v>
      </c>
      <c r="J140" s="198">
        <v>16</v>
      </c>
      <c r="K140" s="35" t="s">
        <v>36</v>
      </c>
      <c r="L140" s="35" t="s">
        <v>661</v>
      </c>
      <c r="M140" s="35" t="s">
        <v>104</v>
      </c>
      <c r="N140" s="35" t="s">
        <v>657</v>
      </c>
    </row>
    <row r="141" spans="1:14" ht="18.75" customHeight="1" x14ac:dyDescent="0.25">
      <c r="A141" s="130">
        <v>7</v>
      </c>
      <c r="B141" s="131" t="s">
        <v>181</v>
      </c>
      <c r="C141" s="131" t="s">
        <v>182</v>
      </c>
      <c r="D141" s="131" t="s">
        <v>183</v>
      </c>
      <c r="E141" s="132" t="s">
        <v>104</v>
      </c>
      <c r="F141" s="131"/>
      <c r="G141" s="131" t="s">
        <v>387</v>
      </c>
      <c r="H141" s="131" t="s">
        <v>388</v>
      </c>
      <c r="I141" s="131" t="s">
        <v>389</v>
      </c>
      <c r="J141" s="213">
        <v>12</v>
      </c>
      <c r="K141" s="131" t="s">
        <v>480</v>
      </c>
      <c r="L141" s="131" t="s">
        <v>658</v>
      </c>
      <c r="M141" s="131" t="s">
        <v>412</v>
      </c>
      <c r="N141" s="131" t="s">
        <v>659</v>
      </c>
    </row>
    <row r="142" spans="1:14" ht="18.75" customHeight="1" x14ac:dyDescent="0.25">
      <c r="A142" s="130">
        <v>8</v>
      </c>
      <c r="B142" s="131" t="s">
        <v>181</v>
      </c>
      <c r="C142" s="131" t="s">
        <v>182</v>
      </c>
      <c r="D142" s="131" t="s">
        <v>183</v>
      </c>
      <c r="E142" s="132" t="s">
        <v>104</v>
      </c>
      <c r="F142" s="131"/>
      <c r="G142" s="131" t="s">
        <v>391</v>
      </c>
      <c r="H142" s="131" t="s">
        <v>392</v>
      </c>
      <c r="I142" s="131" t="s">
        <v>393</v>
      </c>
      <c r="J142" s="213">
        <v>28</v>
      </c>
      <c r="K142" s="131" t="s">
        <v>480</v>
      </c>
      <c r="L142" s="131" t="s">
        <v>658</v>
      </c>
      <c r="M142" s="131" t="s">
        <v>412</v>
      </c>
      <c r="N142" s="131" t="s">
        <v>659</v>
      </c>
    </row>
    <row r="143" spans="1:14" ht="18.75" customHeight="1" x14ac:dyDescent="0.25">
      <c r="A143" s="130">
        <v>9</v>
      </c>
      <c r="B143" s="131" t="s">
        <v>181</v>
      </c>
      <c r="C143" s="131" t="s">
        <v>182</v>
      </c>
      <c r="D143" s="131" t="s">
        <v>183</v>
      </c>
      <c r="E143" s="132" t="s">
        <v>104</v>
      </c>
      <c r="F143" s="131"/>
      <c r="G143" s="131" t="s">
        <v>395</v>
      </c>
      <c r="H143" s="131" t="s">
        <v>396</v>
      </c>
      <c r="I143" s="131" t="s">
        <v>360</v>
      </c>
      <c r="J143" s="213">
        <v>30</v>
      </c>
      <c r="K143" s="131" t="s">
        <v>36</v>
      </c>
      <c r="L143" s="131" t="s">
        <v>662</v>
      </c>
      <c r="M143" s="131" t="s">
        <v>104</v>
      </c>
      <c r="N143" s="131" t="s">
        <v>657</v>
      </c>
    </row>
    <row r="144" spans="1:14" ht="18.75" customHeight="1" x14ac:dyDescent="0.25">
      <c r="A144" s="130">
        <v>10</v>
      </c>
      <c r="B144" s="131" t="s">
        <v>181</v>
      </c>
      <c r="C144" s="131" t="s">
        <v>182</v>
      </c>
      <c r="D144" s="131" t="s">
        <v>183</v>
      </c>
      <c r="E144" s="132" t="s">
        <v>104</v>
      </c>
      <c r="F144" s="131"/>
      <c r="G144" s="131" t="s">
        <v>399</v>
      </c>
      <c r="H144" s="131" t="s">
        <v>400</v>
      </c>
      <c r="I144" s="131" t="s">
        <v>372</v>
      </c>
      <c r="J144" s="213">
        <v>17</v>
      </c>
      <c r="K144" s="131" t="s">
        <v>480</v>
      </c>
      <c r="L144" s="131" t="s">
        <v>658</v>
      </c>
      <c r="M144" s="131" t="s">
        <v>412</v>
      </c>
      <c r="N144" s="131" t="s">
        <v>659</v>
      </c>
    </row>
    <row r="145" spans="1:14" ht="18.75" customHeight="1" x14ac:dyDescent="0.25">
      <c r="A145" s="130">
        <v>11</v>
      </c>
      <c r="B145" s="131" t="s">
        <v>181</v>
      </c>
      <c r="C145" s="131" t="s">
        <v>182</v>
      </c>
      <c r="D145" s="131" t="s">
        <v>183</v>
      </c>
      <c r="E145" s="132" t="s">
        <v>104</v>
      </c>
      <c r="F145" s="131"/>
      <c r="G145" s="131" t="s">
        <v>402</v>
      </c>
      <c r="H145" s="131" t="s">
        <v>403</v>
      </c>
      <c r="I145" s="131" t="s">
        <v>404</v>
      </c>
      <c r="J145" s="213">
        <v>13</v>
      </c>
      <c r="K145" s="131" t="s">
        <v>36</v>
      </c>
      <c r="L145" s="131" t="s">
        <v>663</v>
      </c>
      <c r="M145" s="131" t="s">
        <v>104</v>
      </c>
      <c r="N145" s="131" t="s">
        <v>657</v>
      </c>
    </row>
    <row r="146" spans="1:14" ht="18.75" customHeight="1" x14ac:dyDescent="0.25">
      <c r="A146" s="130">
        <v>12</v>
      </c>
      <c r="B146" s="131" t="s">
        <v>181</v>
      </c>
      <c r="C146" s="131" t="s">
        <v>182</v>
      </c>
      <c r="D146" s="131" t="s">
        <v>183</v>
      </c>
      <c r="E146" s="132" t="s">
        <v>104</v>
      </c>
      <c r="F146" s="131"/>
      <c r="G146" s="131" t="s">
        <v>406</v>
      </c>
      <c r="H146" s="131" t="s">
        <v>407</v>
      </c>
      <c r="I146" s="131" t="s">
        <v>367</v>
      </c>
      <c r="J146" s="213">
        <v>19</v>
      </c>
      <c r="K146" s="131" t="s">
        <v>480</v>
      </c>
      <c r="L146" s="131" t="s">
        <v>658</v>
      </c>
      <c r="M146" s="131" t="s">
        <v>412</v>
      </c>
      <c r="N146" s="131" t="s">
        <v>659</v>
      </c>
    </row>
    <row r="147" spans="1:14" ht="18.75" customHeight="1" x14ac:dyDescent="0.25">
      <c r="A147" s="130">
        <v>13</v>
      </c>
      <c r="B147" s="131" t="s">
        <v>181</v>
      </c>
      <c r="C147" s="131" t="s">
        <v>182</v>
      </c>
      <c r="D147" s="131" t="s">
        <v>183</v>
      </c>
      <c r="E147" s="132" t="s">
        <v>104</v>
      </c>
      <c r="F147" s="131"/>
      <c r="G147" s="131" t="s">
        <v>409</v>
      </c>
      <c r="H147" s="131" t="s">
        <v>410</v>
      </c>
      <c r="I147" s="131" t="s">
        <v>360</v>
      </c>
      <c r="J147" s="213">
        <v>29</v>
      </c>
      <c r="K147" s="131" t="s">
        <v>36</v>
      </c>
      <c r="L147" s="131" t="s">
        <v>664</v>
      </c>
      <c r="M147" s="131" t="s">
        <v>104</v>
      </c>
      <c r="N147" s="131" t="s">
        <v>657</v>
      </c>
    </row>
    <row r="148" spans="1:14" ht="18.75" customHeight="1" x14ac:dyDescent="0.25">
      <c r="A148" s="130">
        <v>14</v>
      </c>
      <c r="B148" s="131" t="s">
        <v>181</v>
      </c>
      <c r="C148" s="131" t="s">
        <v>182</v>
      </c>
      <c r="D148" s="131" t="s">
        <v>183</v>
      </c>
      <c r="E148" s="132" t="s">
        <v>104</v>
      </c>
      <c r="F148" s="131"/>
      <c r="G148" s="131" t="s">
        <v>415</v>
      </c>
      <c r="H148" s="131" t="s">
        <v>416</v>
      </c>
      <c r="I148" s="131" t="s">
        <v>385</v>
      </c>
      <c r="J148" s="213">
        <v>13</v>
      </c>
      <c r="K148" s="131" t="s">
        <v>36</v>
      </c>
      <c r="L148" s="131" t="s">
        <v>665</v>
      </c>
      <c r="M148" s="131" t="s">
        <v>104</v>
      </c>
      <c r="N148" s="131" t="s">
        <v>657</v>
      </c>
    </row>
    <row r="149" spans="1:14" ht="18.75" customHeight="1" x14ac:dyDescent="0.25">
      <c r="A149" s="130">
        <v>15</v>
      </c>
      <c r="B149" s="131" t="s">
        <v>181</v>
      </c>
      <c r="C149" s="131" t="s">
        <v>182</v>
      </c>
      <c r="D149" s="131" t="s">
        <v>183</v>
      </c>
      <c r="E149" s="132" t="s">
        <v>104</v>
      </c>
      <c r="F149" s="131"/>
      <c r="G149" s="131" t="s">
        <v>418</v>
      </c>
      <c r="H149" s="131" t="s">
        <v>419</v>
      </c>
      <c r="I149" s="131" t="s">
        <v>421</v>
      </c>
      <c r="J149" s="213">
        <v>28</v>
      </c>
      <c r="K149" s="131" t="s">
        <v>480</v>
      </c>
      <c r="L149" s="131" t="s">
        <v>658</v>
      </c>
      <c r="M149" s="131" t="s">
        <v>412</v>
      </c>
      <c r="N149" s="131" t="s">
        <v>659</v>
      </c>
    </row>
    <row r="150" spans="1:14" ht="18.75" customHeight="1" x14ac:dyDescent="0.25">
      <c r="A150" s="130">
        <v>16</v>
      </c>
      <c r="B150" s="131" t="s">
        <v>181</v>
      </c>
      <c r="C150" s="131" t="s">
        <v>182</v>
      </c>
      <c r="D150" s="131" t="s">
        <v>183</v>
      </c>
      <c r="E150" s="132" t="s">
        <v>104</v>
      </c>
      <c r="F150" s="131"/>
      <c r="G150" s="131" t="s">
        <v>423</v>
      </c>
      <c r="H150" s="131" t="s">
        <v>424</v>
      </c>
      <c r="I150" s="131" t="s">
        <v>425</v>
      </c>
      <c r="J150" s="213">
        <v>11</v>
      </c>
      <c r="K150" s="131" t="s">
        <v>36</v>
      </c>
      <c r="L150" s="131" t="s">
        <v>666</v>
      </c>
      <c r="M150" s="131" t="s">
        <v>104</v>
      </c>
      <c r="N150" s="131" t="s">
        <v>657</v>
      </c>
    </row>
    <row r="151" spans="1:14" ht="18.75" customHeight="1" x14ac:dyDescent="0.25">
      <c r="A151" s="130">
        <v>17</v>
      </c>
      <c r="B151" s="131" t="s">
        <v>181</v>
      </c>
      <c r="C151" s="131" t="s">
        <v>182</v>
      </c>
      <c r="D151" s="131" t="s">
        <v>183</v>
      </c>
      <c r="E151" s="132" t="s">
        <v>104</v>
      </c>
      <c r="F151" s="131"/>
      <c r="G151" s="131" t="s">
        <v>427</v>
      </c>
      <c r="H151" s="131" t="s">
        <v>428</v>
      </c>
      <c r="I151" s="131" t="s">
        <v>429</v>
      </c>
      <c r="J151" s="213">
        <v>21</v>
      </c>
      <c r="K151" s="131" t="s">
        <v>480</v>
      </c>
      <c r="L151" s="131" t="s">
        <v>658</v>
      </c>
      <c r="M151" s="131" t="s">
        <v>412</v>
      </c>
      <c r="N151" s="131" t="s">
        <v>659</v>
      </c>
    </row>
    <row r="152" spans="1:14" ht="18.75" customHeight="1" x14ac:dyDescent="0.25">
      <c r="A152" s="130">
        <v>18</v>
      </c>
      <c r="B152" s="131" t="s">
        <v>181</v>
      </c>
      <c r="C152" s="131" t="s">
        <v>182</v>
      </c>
      <c r="D152" s="131" t="s">
        <v>183</v>
      </c>
      <c r="E152" s="132" t="s">
        <v>104</v>
      </c>
      <c r="F152" s="131"/>
      <c r="G152" s="131" t="s">
        <v>431</v>
      </c>
      <c r="H152" s="131" t="s">
        <v>432</v>
      </c>
      <c r="I152" s="131" t="s">
        <v>360</v>
      </c>
      <c r="J152" s="213">
        <v>27</v>
      </c>
      <c r="K152" s="131" t="s">
        <v>36</v>
      </c>
      <c r="L152" s="131" t="s">
        <v>667</v>
      </c>
      <c r="M152" s="131" t="s">
        <v>104</v>
      </c>
      <c r="N152" s="131" t="s">
        <v>657</v>
      </c>
    </row>
    <row r="153" spans="1:14" ht="18.75" customHeight="1" x14ac:dyDescent="0.25">
      <c r="A153" s="130">
        <v>19</v>
      </c>
      <c r="B153" s="131" t="s">
        <v>181</v>
      </c>
      <c r="C153" s="131" t="s">
        <v>182</v>
      </c>
      <c r="D153" s="131" t="s">
        <v>183</v>
      </c>
      <c r="E153" s="132" t="s">
        <v>104</v>
      </c>
      <c r="F153" s="131"/>
      <c r="G153" s="131" t="s">
        <v>434</v>
      </c>
      <c r="H153" s="131" t="s">
        <v>435</v>
      </c>
      <c r="I153" s="131" t="s">
        <v>436</v>
      </c>
      <c r="J153" s="213">
        <v>23</v>
      </c>
      <c r="K153" s="131" t="s">
        <v>480</v>
      </c>
      <c r="L153" s="131" t="s">
        <v>658</v>
      </c>
      <c r="M153" s="131" t="s">
        <v>412</v>
      </c>
      <c r="N153" s="131" t="s">
        <v>659</v>
      </c>
    </row>
    <row r="154" spans="1:14" ht="18.75" customHeight="1" x14ac:dyDescent="0.25">
      <c r="A154" s="130">
        <v>20</v>
      </c>
      <c r="B154" s="131" t="s">
        <v>181</v>
      </c>
      <c r="C154" s="131" t="s">
        <v>182</v>
      </c>
      <c r="D154" s="131" t="s">
        <v>183</v>
      </c>
      <c r="E154" s="132" t="s">
        <v>104</v>
      </c>
      <c r="F154" s="131"/>
      <c r="G154" s="131" t="s">
        <v>438</v>
      </c>
      <c r="H154" s="131" t="s">
        <v>439</v>
      </c>
      <c r="I154" s="131" t="s">
        <v>440</v>
      </c>
      <c r="J154" s="213">
        <v>21</v>
      </c>
      <c r="K154" s="131" t="s">
        <v>36</v>
      </c>
      <c r="L154" s="131" t="s">
        <v>668</v>
      </c>
      <c r="M154" s="131" t="s">
        <v>104</v>
      </c>
      <c r="N154" s="131" t="s">
        <v>657</v>
      </c>
    </row>
    <row r="155" spans="1:14" ht="18.75" customHeight="1" x14ac:dyDescent="0.25">
      <c r="A155" s="130">
        <v>21</v>
      </c>
      <c r="B155" s="131" t="s">
        <v>181</v>
      </c>
      <c r="C155" s="131" t="s">
        <v>182</v>
      </c>
      <c r="D155" s="131" t="s">
        <v>183</v>
      </c>
      <c r="E155" s="132" t="s">
        <v>104</v>
      </c>
      <c r="F155" s="131"/>
      <c r="G155" s="131" t="s">
        <v>442</v>
      </c>
      <c r="H155" s="131" t="s">
        <v>443</v>
      </c>
      <c r="I155" s="131" t="s">
        <v>381</v>
      </c>
      <c r="J155" s="213">
        <v>12</v>
      </c>
      <c r="K155" s="131" t="s">
        <v>480</v>
      </c>
      <c r="L155" s="131" t="s">
        <v>658</v>
      </c>
      <c r="M155" s="131" t="s">
        <v>412</v>
      </c>
      <c r="N155" s="131" t="s">
        <v>659</v>
      </c>
    </row>
    <row r="156" spans="1:14" ht="18.75" customHeight="1" x14ac:dyDescent="0.25">
      <c r="A156" s="130">
        <v>22</v>
      </c>
      <c r="B156" s="131" t="s">
        <v>181</v>
      </c>
      <c r="C156" s="131" t="s">
        <v>182</v>
      </c>
      <c r="D156" s="131" t="s">
        <v>183</v>
      </c>
      <c r="E156" s="132" t="s">
        <v>104</v>
      </c>
      <c r="F156" s="131"/>
      <c r="G156" s="131" t="s">
        <v>445</v>
      </c>
      <c r="H156" s="131" t="s">
        <v>446</v>
      </c>
      <c r="I156" s="131" t="s">
        <v>372</v>
      </c>
      <c r="J156" s="213">
        <v>26</v>
      </c>
      <c r="K156" s="131" t="s">
        <v>36</v>
      </c>
      <c r="L156" s="131" t="s">
        <v>669</v>
      </c>
      <c r="M156" s="131" t="s">
        <v>104</v>
      </c>
      <c r="N156" s="131" t="s">
        <v>657</v>
      </c>
    </row>
    <row r="157" spans="1:14" ht="18.75" customHeight="1" x14ac:dyDescent="0.25">
      <c r="A157" s="130">
        <v>23</v>
      </c>
      <c r="B157" s="131" t="s">
        <v>181</v>
      </c>
      <c r="C157" s="131" t="s">
        <v>182</v>
      </c>
      <c r="D157" s="131" t="s">
        <v>183</v>
      </c>
      <c r="E157" s="132" t="s">
        <v>104</v>
      </c>
      <c r="F157" s="131"/>
      <c r="G157" s="131" t="s">
        <v>449</v>
      </c>
      <c r="H157" s="131" t="s">
        <v>450</v>
      </c>
      <c r="I157" s="131" t="s">
        <v>451</v>
      </c>
      <c r="J157" s="213">
        <v>30</v>
      </c>
      <c r="K157" s="131" t="s">
        <v>36</v>
      </c>
      <c r="L157" s="131" t="s">
        <v>670</v>
      </c>
      <c r="M157" s="131" t="s">
        <v>104</v>
      </c>
      <c r="N157" s="131" t="s">
        <v>657</v>
      </c>
    </row>
    <row r="158" spans="1:14" ht="18.75" customHeight="1" x14ac:dyDescent="0.25">
      <c r="A158" s="130">
        <v>24</v>
      </c>
      <c r="B158" s="131" t="s">
        <v>181</v>
      </c>
      <c r="C158" s="131" t="s">
        <v>182</v>
      </c>
      <c r="D158" s="131" t="s">
        <v>183</v>
      </c>
      <c r="E158" s="132" t="s">
        <v>104</v>
      </c>
      <c r="F158" s="131"/>
      <c r="G158" s="131" t="s">
        <v>453</v>
      </c>
      <c r="H158" s="131" t="s">
        <v>454</v>
      </c>
      <c r="I158" s="131" t="s">
        <v>455</v>
      </c>
      <c r="J158" s="213">
        <v>20</v>
      </c>
      <c r="K158" s="131" t="s">
        <v>480</v>
      </c>
      <c r="L158" s="131" t="s">
        <v>658</v>
      </c>
      <c r="M158" s="131" t="s">
        <v>412</v>
      </c>
      <c r="N158" s="131" t="s">
        <v>659</v>
      </c>
    </row>
    <row r="159" spans="1:14" ht="18.75" customHeight="1" x14ac:dyDescent="0.25">
      <c r="A159" s="130">
        <v>25</v>
      </c>
      <c r="B159" s="131" t="s">
        <v>181</v>
      </c>
      <c r="C159" s="131" t="s">
        <v>182</v>
      </c>
      <c r="D159" s="131" t="s">
        <v>183</v>
      </c>
      <c r="E159" s="132" t="s">
        <v>104</v>
      </c>
      <c r="F159" s="131"/>
      <c r="G159" s="131" t="s">
        <v>457</v>
      </c>
      <c r="H159" s="131" t="s">
        <v>458</v>
      </c>
      <c r="I159" s="131" t="s">
        <v>459</v>
      </c>
      <c r="J159" s="213">
        <v>10</v>
      </c>
      <c r="K159" s="131" t="s">
        <v>36</v>
      </c>
      <c r="L159" s="131" t="s">
        <v>671</v>
      </c>
      <c r="M159" s="131" t="s">
        <v>104</v>
      </c>
      <c r="N159" s="131" t="s">
        <v>657</v>
      </c>
    </row>
    <row r="160" spans="1:14" ht="18.75" customHeight="1" x14ac:dyDescent="0.25">
      <c r="A160" s="130" t="s">
        <v>729</v>
      </c>
      <c r="B160" s="131" t="s">
        <v>181</v>
      </c>
      <c r="C160" s="131" t="s">
        <v>182</v>
      </c>
      <c r="D160" s="131" t="s">
        <v>183</v>
      </c>
      <c r="E160" s="132" t="s">
        <v>104</v>
      </c>
      <c r="F160" s="131"/>
      <c r="G160" s="131" t="s">
        <v>682</v>
      </c>
      <c r="H160" s="131" t="s">
        <v>443</v>
      </c>
      <c r="I160" s="131" t="s">
        <v>389</v>
      </c>
      <c r="J160" s="213">
        <v>23</v>
      </c>
      <c r="K160" s="131"/>
      <c r="L160" s="131"/>
      <c r="M160" s="131"/>
      <c r="N160" s="131"/>
    </row>
    <row r="161" spans="1:14" ht="18.75" customHeight="1" x14ac:dyDescent="0.25">
      <c r="A161" s="130">
        <v>1</v>
      </c>
      <c r="B161" s="131" t="s">
        <v>184</v>
      </c>
      <c r="C161" s="131" t="s">
        <v>185</v>
      </c>
      <c r="D161" s="131" t="s">
        <v>168</v>
      </c>
      <c r="E161" s="132" t="s">
        <v>121</v>
      </c>
      <c r="F161" s="131"/>
      <c r="G161" s="131" t="s">
        <v>353</v>
      </c>
      <c r="H161" s="131" t="s">
        <v>354</v>
      </c>
      <c r="I161" s="131" t="s">
        <v>360</v>
      </c>
      <c r="J161" s="213">
        <v>25</v>
      </c>
      <c r="K161" s="131" t="s">
        <v>36</v>
      </c>
      <c r="L161" s="131" t="s">
        <v>656</v>
      </c>
      <c r="M161" s="131" t="s">
        <v>121</v>
      </c>
      <c r="N161" s="131" t="s">
        <v>657</v>
      </c>
    </row>
    <row r="162" spans="1:14" ht="18.75" customHeight="1" x14ac:dyDescent="0.25">
      <c r="A162" s="130">
        <v>2</v>
      </c>
      <c r="B162" s="131" t="s">
        <v>184</v>
      </c>
      <c r="C162" s="131" t="s">
        <v>185</v>
      </c>
      <c r="D162" s="131" t="s">
        <v>168</v>
      </c>
      <c r="E162" s="132" t="s">
        <v>121</v>
      </c>
      <c r="F162" s="131"/>
      <c r="G162" s="131" t="s">
        <v>363</v>
      </c>
      <c r="H162" s="131" t="s">
        <v>364</v>
      </c>
      <c r="I162" s="131" t="s">
        <v>367</v>
      </c>
      <c r="J162" s="213">
        <v>13</v>
      </c>
      <c r="K162" s="131" t="s">
        <v>480</v>
      </c>
      <c r="L162" s="131" t="s">
        <v>658</v>
      </c>
      <c r="M162" s="131" t="s">
        <v>412</v>
      </c>
      <c r="N162" s="131" t="s">
        <v>659</v>
      </c>
    </row>
    <row r="163" spans="1:14" ht="18.75" customHeight="1" x14ac:dyDescent="0.25">
      <c r="A163" s="130">
        <v>3</v>
      </c>
      <c r="B163" s="131" t="s">
        <v>184</v>
      </c>
      <c r="C163" s="131" t="s">
        <v>185</v>
      </c>
      <c r="D163" s="131" t="s">
        <v>168</v>
      </c>
      <c r="E163" s="132" t="s">
        <v>121</v>
      </c>
      <c r="F163" s="131"/>
      <c r="G163" s="131" t="s">
        <v>369</v>
      </c>
      <c r="H163" s="131" t="s">
        <v>370</v>
      </c>
      <c r="I163" s="131" t="s">
        <v>372</v>
      </c>
      <c r="J163" s="213">
        <v>23</v>
      </c>
      <c r="K163" s="131" t="s">
        <v>480</v>
      </c>
      <c r="L163" s="131" t="s">
        <v>658</v>
      </c>
      <c r="M163" s="131" t="s">
        <v>412</v>
      </c>
      <c r="N163" s="131" t="s">
        <v>659</v>
      </c>
    </row>
    <row r="164" spans="1:14" ht="18.75" customHeight="1" x14ac:dyDescent="0.25">
      <c r="A164" s="130">
        <v>4</v>
      </c>
      <c r="B164" s="131" t="s">
        <v>184</v>
      </c>
      <c r="C164" s="131" t="s">
        <v>185</v>
      </c>
      <c r="D164" s="131" t="s">
        <v>168</v>
      </c>
      <c r="E164" s="132" t="s">
        <v>121</v>
      </c>
      <c r="F164" s="131"/>
      <c r="G164" s="131" t="s">
        <v>374</v>
      </c>
      <c r="H164" s="131" t="s">
        <v>375</v>
      </c>
      <c r="I164" s="131" t="s">
        <v>377</v>
      </c>
      <c r="J164" s="213">
        <v>21</v>
      </c>
      <c r="K164" s="131" t="s">
        <v>36</v>
      </c>
      <c r="L164" s="131" t="s">
        <v>660</v>
      </c>
      <c r="M164" s="131" t="s">
        <v>121</v>
      </c>
      <c r="N164" s="131" t="s">
        <v>657</v>
      </c>
    </row>
    <row r="165" spans="1:14" ht="4.5" customHeight="1" x14ac:dyDescent="0.25">
      <c r="A165" s="105">
        <v>5</v>
      </c>
      <c r="B165" s="105" t="s">
        <v>184</v>
      </c>
      <c r="C165" s="105" t="s">
        <v>185</v>
      </c>
      <c r="D165" s="105" t="s">
        <v>168</v>
      </c>
      <c r="E165" s="105" t="s">
        <v>121</v>
      </c>
      <c r="F165" s="105"/>
      <c r="G165" s="105" t="s">
        <v>379</v>
      </c>
      <c r="H165" s="105" t="s">
        <v>380</v>
      </c>
      <c r="I165" s="105" t="s">
        <v>381</v>
      </c>
      <c r="J165" s="201">
        <v>30</v>
      </c>
      <c r="K165" s="105" t="s">
        <v>480</v>
      </c>
      <c r="L165" s="105" t="s">
        <v>658</v>
      </c>
      <c r="M165" s="105" t="s">
        <v>412</v>
      </c>
      <c r="N165" s="105" t="s">
        <v>659</v>
      </c>
    </row>
    <row r="166" spans="1:14" ht="19.5" customHeight="1" x14ac:dyDescent="0.25">
      <c r="A166" s="273" t="s">
        <v>729</v>
      </c>
      <c r="B166" s="260"/>
      <c r="C166" s="260"/>
      <c r="D166" s="260"/>
      <c r="E166" s="260"/>
      <c r="F166" s="260"/>
      <c r="G166" s="260"/>
      <c r="H166" s="260"/>
      <c r="I166" s="260"/>
      <c r="J166" s="260"/>
      <c r="K166" s="260"/>
      <c r="L166" s="260"/>
      <c r="M166" s="260"/>
      <c r="N166" s="261"/>
    </row>
    <row r="167" spans="1:14" ht="18.75" customHeight="1" x14ac:dyDescent="0.25">
      <c r="A167" s="34">
        <v>7</v>
      </c>
      <c r="B167" s="35" t="s">
        <v>184</v>
      </c>
      <c r="C167" s="35" t="s">
        <v>185</v>
      </c>
      <c r="D167" s="35" t="s">
        <v>168</v>
      </c>
      <c r="E167" s="109" t="s">
        <v>121</v>
      </c>
      <c r="F167" s="35"/>
      <c r="G167" s="35" t="s">
        <v>387</v>
      </c>
      <c r="H167" s="35" t="s">
        <v>388</v>
      </c>
      <c r="I167" s="35" t="s">
        <v>389</v>
      </c>
      <c r="J167" s="198">
        <v>24</v>
      </c>
      <c r="K167" s="35" t="s">
        <v>480</v>
      </c>
      <c r="L167" s="35" t="s">
        <v>658</v>
      </c>
      <c r="M167" s="35" t="s">
        <v>412</v>
      </c>
      <c r="N167" s="35" t="s">
        <v>659</v>
      </c>
    </row>
    <row r="168" spans="1:14" ht="18.75" customHeight="1" x14ac:dyDescent="0.25">
      <c r="A168" s="127">
        <v>8</v>
      </c>
      <c r="B168" s="128" t="s">
        <v>184</v>
      </c>
      <c r="C168" s="128" t="s">
        <v>185</v>
      </c>
      <c r="D168" s="128" t="s">
        <v>168</v>
      </c>
      <c r="E168" s="133" t="s">
        <v>121</v>
      </c>
      <c r="F168" s="128"/>
      <c r="G168" s="128" t="s">
        <v>391</v>
      </c>
      <c r="H168" s="128" t="s">
        <v>392</v>
      </c>
      <c r="I168" s="128" t="s">
        <v>393</v>
      </c>
      <c r="J168" s="212">
        <v>14</v>
      </c>
      <c r="K168" s="128" t="s">
        <v>480</v>
      </c>
      <c r="L168" s="128" t="s">
        <v>658</v>
      </c>
      <c r="M168" s="128" t="s">
        <v>412</v>
      </c>
      <c r="N168" s="128" t="s">
        <v>659</v>
      </c>
    </row>
    <row r="169" spans="1:14" ht="18.75" customHeight="1" x14ac:dyDescent="0.25">
      <c r="A169" s="127">
        <v>9</v>
      </c>
      <c r="B169" s="128" t="s">
        <v>184</v>
      </c>
      <c r="C169" s="128" t="s">
        <v>185</v>
      </c>
      <c r="D169" s="128" t="s">
        <v>168</v>
      </c>
      <c r="E169" s="133" t="s">
        <v>121</v>
      </c>
      <c r="F169" s="128"/>
      <c r="G169" s="128" t="s">
        <v>395</v>
      </c>
      <c r="H169" s="128" t="s">
        <v>396</v>
      </c>
      <c r="I169" s="128" t="s">
        <v>360</v>
      </c>
      <c r="J169" s="212">
        <v>23</v>
      </c>
      <c r="K169" s="128" t="s">
        <v>36</v>
      </c>
      <c r="L169" s="128" t="s">
        <v>662</v>
      </c>
      <c r="M169" s="128" t="s">
        <v>121</v>
      </c>
      <c r="N169" s="128" t="s">
        <v>657</v>
      </c>
    </row>
    <row r="170" spans="1:14" ht="18.75" customHeight="1" x14ac:dyDescent="0.25">
      <c r="A170" s="127">
        <v>10</v>
      </c>
      <c r="B170" s="128" t="s">
        <v>184</v>
      </c>
      <c r="C170" s="128" t="s">
        <v>185</v>
      </c>
      <c r="D170" s="128" t="s">
        <v>168</v>
      </c>
      <c r="E170" s="133" t="s">
        <v>121</v>
      </c>
      <c r="F170" s="128"/>
      <c r="G170" s="128" t="s">
        <v>399</v>
      </c>
      <c r="H170" s="128" t="s">
        <v>400</v>
      </c>
      <c r="I170" s="128" t="s">
        <v>372</v>
      </c>
      <c r="J170" s="212">
        <v>15</v>
      </c>
      <c r="K170" s="128" t="s">
        <v>480</v>
      </c>
      <c r="L170" s="128" t="s">
        <v>658</v>
      </c>
      <c r="M170" s="128" t="s">
        <v>412</v>
      </c>
      <c r="N170" s="128" t="s">
        <v>659</v>
      </c>
    </row>
    <row r="171" spans="1:14" ht="18.75" customHeight="1" x14ac:dyDescent="0.25">
      <c r="A171" s="127">
        <v>11</v>
      </c>
      <c r="B171" s="128" t="s">
        <v>184</v>
      </c>
      <c r="C171" s="128" t="s">
        <v>185</v>
      </c>
      <c r="D171" s="128" t="s">
        <v>168</v>
      </c>
      <c r="E171" s="133" t="s">
        <v>121</v>
      </c>
      <c r="F171" s="128"/>
      <c r="G171" s="128" t="s">
        <v>402</v>
      </c>
      <c r="H171" s="128" t="s">
        <v>403</v>
      </c>
      <c r="I171" s="128" t="s">
        <v>404</v>
      </c>
      <c r="J171" s="212">
        <v>26</v>
      </c>
      <c r="K171" s="128" t="s">
        <v>36</v>
      </c>
      <c r="L171" s="128" t="s">
        <v>663</v>
      </c>
      <c r="M171" s="128" t="s">
        <v>121</v>
      </c>
      <c r="N171" s="128" t="s">
        <v>657</v>
      </c>
    </row>
    <row r="172" spans="1:14" ht="18.75" customHeight="1" x14ac:dyDescent="0.25">
      <c r="A172" s="127">
        <v>12</v>
      </c>
      <c r="B172" s="128" t="s">
        <v>184</v>
      </c>
      <c r="C172" s="128" t="s">
        <v>185</v>
      </c>
      <c r="D172" s="128" t="s">
        <v>168</v>
      </c>
      <c r="E172" s="133" t="s">
        <v>121</v>
      </c>
      <c r="F172" s="128"/>
      <c r="G172" s="128" t="s">
        <v>406</v>
      </c>
      <c r="H172" s="128" t="s">
        <v>407</v>
      </c>
      <c r="I172" s="128" t="s">
        <v>367</v>
      </c>
      <c r="J172" s="212">
        <v>30</v>
      </c>
      <c r="K172" s="128" t="s">
        <v>480</v>
      </c>
      <c r="L172" s="128" t="s">
        <v>658</v>
      </c>
      <c r="M172" s="128" t="s">
        <v>412</v>
      </c>
      <c r="N172" s="128" t="s">
        <v>659</v>
      </c>
    </row>
    <row r="173" spans="1:14" ht="18.75" customHeight="1" x14ac:dyDescent="0.25">
      <c r="A173" s="127">
        <v>13</v>
      </c>
      <c r="B173" s="128" t="s">
        <v>184</v>
      </c>
      <c r="C173" s="128" t="s">
        <v>185</v>
      </c>
      <c r="D173" s="128" t="s">
        <v>168</v>
      </c>
      <c r="E173" s="133" t="s">
        <v>121</v>
      </c>
      <c r="F173" s="128"/>
      <c r="G173" s="128" t="s">
        <v>409</v>
      </c>
      <c r="H173" s="128" t="s">
        <v>410</v>
      </c>
      <c r="I173" s="128" t="s">
        <v>360</v>
      </c>
      <c r="J173" s="212">
        <v>18</v>
      </c>
      <c r="K173" s="128" t="s">
        <v>36</v>
      </c>
      <c r="L173" s="128" t="s">
        <v>664</v>
      </c>
      <c r="M173" s="128" t="s">
        <v>121</v>
      </c>
      <c r="N173" s="128" t="s">
        <v>657</v>
      </c>
    </row>
    <row r="174" spans="1:14" ht="18.75" customHeight="1" x14ac:dyDescent="0.25">
      <c r="A174" s="127">
        <v>14</v>
      </c>
      <c r="B174" s="128" t="s">
        <v>184</v>
      </c>
      <c r="C174" s="128" t="s">
        <v>185</v>
      </c>
      <c r="D174" s="128" t="s">
        <v>168</v>
      </c>
      <c r="E174" s="133" t="s">
        <v>121</v>
      </c>
      <c r="F174" s="128"/>
      <c r="G174" s="128" t="s">
        <v>415</v>
      </c>
      <c r="H174" s="128" t="s">
        <v>416</v>
      </c>
      <c r="I174" s="128" t="s">
        <v>385</v>
      </c>
      <c r="J174" s="212">
        <v>29</v>
      </c>
      <c r="K174" s="128" t="s">
        <v>36</v>
      </c>
      <c r="L174" s="128" t="s">
        <v>665</v>
      </c>
      <c r="M174" s="128" t="s">
        <v>121</v>
      </c>
      <c r="N174" s="128" t="s">
        <v>657</v>
      </c>
    </row>
    <row r="175" spans="1:14" ht="18.75" customHeight="1" x14ac:dyDescent="0.25">
      <c r="A175" s="127">
        <v>15</v>
      </c>
      <c r="B175" s="128" t="s">
        <v>184</v>
      </c>
      <c r="C175" s="128" t="s">
        <v>185</v>
      </c>
      <c r="D175" s="128" t="s">
        <v>168</v>
      </c>
      <c r="E175" s="133" t="s">
        <v>121</v>
      </c>
      <c r="F175" s="128"/>
      <c r="G175" s="128" t="s">
        <v>418</v>
      </c>
      <c r="H175" s="128" t="s">
        <v>419</v>
      </c>
      <c r="I175" s="128" t="s">
        <v>421</v>
      </c>
      <c r="J175" s="212">
        <v>27</v>
      </c>
      <c r="K175" s="128" t="s">
        <v>480</v>
      </c>
      <c r="L175" s="128" t="s">
        <v>658</v>
      </c>
      <c r="M175" s="128" t="s">
        <v>412</v>
      </c>
      <c r="N175" s="128" t="s">
        <v>659</v>
      </c>
    </row>
    <row r="176" spans="1:14" ht="18.75" customHeight="1" x14ac:dyDescent="0.25">
      <c r="A176" s="127">
        <v>16</v>
      </c>
      <c r="B176" s="128" t="s">
        <v>184</v>
      </c>
      <c r="C176" s="128" t="s">
        <v>185</v>
      </c>
      <c r="D176" s="128" t="s">
        <v>168</v>
      </c>
      <c r="E176" s="133" t="s">
        <v>121</v>
      </c>
      <c r="F176" s="128"/>
      <c r="G176" s="128" t="s">
        <v>423</v>
      </c>
      <c r="H176" s="128" t="s">
        <v>424</v>
      </c>
      <c r="I176" s="128" t="s">
        <v>425</v>
      </c>
      <c r="J176" s="212">
        <v>25</v>
      </c>
      <c r="K176" s="128" t="s">
        <v>36</v>
      </c>
      <c r="L176" s="128" t="s">
        <v>666</v>
      </c>
      <c r="M176" s="128" t="s">
        <v>121</v>
      </c>
      <c r="N176" s="128" t="s">
        <v>657</v>
      </c>
    </row>
    <row r="177" spans="1:14" ht="18.75" customHeight="1" x14ac:dyDescent="0.25">
      <c r="A177" s="127">
        <v>17</v>
      </c>
      <c r="B177" s="128" t="s">
        <v>184</v>
      </c>
      <c r="C177" s="128" t="s">
        <v>185</v>
      </c>
      <c r="D177" s="128" t="s">
        <v>168</v>
      </c>
      <c r="E177" s="133" t="s">
        <v>121</v>
      </c>
      <c r="F177" s="128"/>
      <c r="G177" s="128" t="s">
        <v>427</v>
      </c>
      <c r="H177" s="128" t="s">
        <v>428</v>
      </c>
      <c r="I177" s="128" t="s">
        <v>429</v>
      </c>
      <c r="J177" s="212">
        <v>24</v>
      </c>
      <c r="K177" s="128" t="s">
        <v>480</v>
      </c>
      <c r="L177" s="128" t="s">
        <v>658</v>
      </c>
      <c r="M177" s="128" t="s">
        <v>412</v>
      </c>
      <c r="N177" s="128" t="s">
        <v>659</v>
      </c>
    </row>
    <row r="178" spans="1:14" ht="18.75" customHeight="1" x14ac:dyDescent="0.25">
      <c r="A178" s="127">
        <v>18</v>
      </c>
      <c r="B178" s="128" t="s">
        <v>184</v>
      </c>
      <c r="C178" s="128" t="s">
        <v>185</v>
      </c>
      <c r="D178" s="128" t="s">
        <v>168</v>
      </c>
      <c r="E178" s="133" t="s">
        <v>121</v>
      </c>
      <c r="F178" s="128"/>
      <c r="G178" s="128" t="s">
        <v>431</v>
      </c>
      <c r="H178" s="128" t="s">
        <v>432</v>
      </c>
      <c r="I178" s="128" t="s">
        <v>360</v>
      </c>
      <c r="J178" s="212">
        <v>23</v>
      </c>
      <c r="K178" s="128" t="s">
        <v>36</v>
      </c>
      <c r="L178" s="128" t="s">
        <v>667</v>
      </c>
      <c r="M178" s="128" t="s">
        <v>121</v>
      </c>
      <c r="N178" s="128" t="s">
        <v>657</v>
      </c>
    </row>
    <row r="179" spans="1:14" ht="18.75" customHeight="1" x14ac:dyDescent="0.25">
      <c r="A179" s="127">
        <v>19</v>
      </c>
      <c r="B179" s="128" t="s">
        <v>184</v>
      </c>
      <c r="C179" s="128" t="s">
        <v>185</v>
      </c>
      <c r="D179" s="128" t="s">
        <v>168</v>
      </c>
      <c r="E179" s="133" t="s">
        <v>121</v>
      </c>
      <c r="F179" s="128"/>
      <c r="G179" s="128" t="s">
        <v>434</v>
      </c>
      <c r="H179" s="128" t="s">
        <v>435</v>
      </c>
      <c r="I179" s="128" t="s">
        <v>436</v>
      </c>
      <c r="J179" s="212">
        <v>28</v>
      </c>
      <c r="K179" s="128" t="s">
        <v>480</v>
      </c>
      <c r="L179" s="128" t="s">
        <v>658</v>
      </c>
      <c r="M179" s="128" t="s">
        <v>412</v>
      </c>
      <c r="N179" s="128" t="s">
        <v>659</v>
      </c>
    </row>
    <row r="180" spans="1:14" ht="18.75" customHeight="1" x14ac:dyDescent="0.25">
      <c r="A180" s="127">
        <v>20</v>
      </c>
      <c r="B180" s="128" t="s">
        <v>184</v>
      </c>
      <c r="C180" s="128" t="s">
        <v>185</v>
      </c>
      <c r="D180" s="128" t="s">
        <v>168</v>
      </c>
      <c r="E180" s="133" t="s">
        <v>121</v>
      </c>
      <c r="F180" s="128"/>
      <c r="G180" s="128" t="s">
        <v>438</v>
      </c>
      <c r="H180" s="128" t="s">
        <v>439</v>
      </c>
      <c r="I180" s="128" t="s">
        <v>440</v>
      </c>
      <c r="J180" s="212">
        <v>18</v>
      </c>
      <c r="K180" s="128" t="s">
        <v>36</v>
      </c>
      <c r="L180" s="128" t="s">
        <v>668</v>
      </c>
      <c r="M180" s="128" t="s">
        <v>121</v>
      </c>
      <c r="N180" s="128" t="s">
        <v>657</v>
      </c>
    </row>
    <row r="181" spans="1:14" ht="18.75" customHeight="1" x14ac:dyDescent="0.25">
      <c r="A181" s="127">
        <v>21</v>
      </c>
      <c r="B181" s="128" t="s">
        <v>184</v>
      </c>
      <c r="C181" s="128" t="s">
        <v>185</v>
      </c>
      <c r="D181" s="128" t="s">
        <v>168</v>
      </c>
      <c r="E181" s="133" t="s">
        <v>121</v>
      </c>
      <c r="F181" s="128"/>
      <c r="G181" s="128" t="s">
        <v>442</v>
      </c>
      <c r="H181" s="128" t="s">
        <v>443</v>
      </c>
      <c r="I181" s="128" t="s">
        <v>381</v>
      </c>
      <c r="J181" s="212">
        <v>20</v>
      </c>
      <c r="K181" s="128" t="s">
        <v>480</v>
      </c>
      <c r="L181" s="128" t="s">
        <v>658</v>
      </c>
      <c r="M181" s="128" t="s">
        <v>412</v>
      </c>
      <c r="N181" s="128" t="s">
        <v>659</v>
      </c>
    </row>
    <row r="182" spans="1:14" ht="18.75" customHeight="1" x14ac:dyDescent="0.25">
      <c r="A182" s="127">
        <v>22</v>
      </c>
      <c r="B182" s="128" t="s">
        <v>184</v>
      </c>
      <c r="C182" s="128" t="s">
        <v>185</v>
      </c>
      <c r="D182" s="128" t="s">
        <v>168</v>
      </c>
      <c r="E182" s="133" t="s">
        <v>121</v>
      </c>
      <c r="F182" s="128"/>
      <c r="G182" s="128" t="s">
        <v>445</v>
      </c>
      <c r="H182" s="128" t="s">
        <v>446</v>
      </c>
      <c r="I182" s="128" t="s">
        <v>372</v>
      </c>
      <c r="J182" s="212">
        <v>17</v>
      </c>
      <c r="K182" s="128" t="s">
        <v>36</v>
      </c>
      <c r="L182" s="128" t="s">
        <v>669</v>
      </c>
      <c r="M182" s="128" t="s">
        <v>121</v>
      </c>
      <c r="N182" s="128" t="s">
        <v>657</v>
      </c>
    </row>
    <row r="183" spans="1:14" ht="18.75" customHeight="1" x14ac:dyDescent="0.25">
      <c r="A183" s="127">
        <v>23</v>
      </c>
      <c r="B183" s="128" t="s">
        <v>184</v>
      </c>
      <c r="C183" s="128" t="s">
        <v>185</v>
      </c>
      <c r="D183" s="128" t="s">
        <v>168</v>
      </c>
      <c r="E183" s="133" t="s">
        <v>121</v>
      </c>
      <c r="F183" s="128"/>
      <c r="G183" s="128" t="s">
        <v>449</v>
      </c>
      <c r="H183" s="128" t="s">
        <v>450</v>
      </c>
      <c r="I183" s="128" t="s">
        <v>451</v>
      </c>
      <c r="J183" s="212">
        <v>12</v>
      </c>
      <c r="K183" s="128" t="s">
        <v>36</v>
      </c>
      <c r="L183" s="128" t="s">
        <v>670</v>
      </c>
      <c r="M183" s="128" t="s">
        <v>121</v>
      </c>
      <c r="N183" s="128" t="s">
        <v>657</v>
      </c>
    </row>
    <row r="184" spans="1:14" ht="18.75" customHeight="1" x14ac:dyDescent="0.25">
      <c r="A184" s="127">
        <v>24</v>
      </c>
      <c r="B184" s="128" t="s">
        <v>184</v>
      </c>
      <c r="C184" s="128" t="s">
        <v>185</v>
      </c>
      <c r="D184" s="128" t="s">
        <v>168</v>
      </c>
      <c r="E184" s="133" t="s">
        <v>121</v>
      </c>
      <c r="F184" s="128"/>
      <c r="G184" s="128" t="s">
        <v>453</v>
      </c>
      <c r="H184" s="128" t="s">
        <v>454</v>
      </c>
      <c r="I184" s="128" t="s">
        <v>455</v>
      </c>
      <c r="J184" s="212">
        <v>18</v>
      </c>
      <c r="K184" s="128" t="s">
        <v>480</v>
      </c>
      <c r="L184" s="128" t="s">
        <v>658</v>
      </c>
      <c r="M184" s="128" t="s">
        <v>412</v>
      </c>
      <c r="N184" s="128" t="s">
        <v>659</v>
      </c>
    </row>
    <row r="185" spans="1:14" ht="18.75" customHeight="1" x14ac:dyDescent="0.25">
      <c r="A185" s="127">
        <v>25</v>
      </c>
      <c r="B185" s="128" t="s">
        <v>184</v>
      </c>
      <c r="C185" s="128" t="s">
        <v>185</v>
      </c>
      <c r="D185" s="128" t="s">
        <v>168</v>
      </c>
      <c r="E185" s="133" t="s">
        <v>121</v>
      </c>
      <c r="F185" s="128"/>
      <c r="G185" s="128" t="s">
        <v>457</v>
      </c>
      <c r="H185" s="128" t="s">
        <v>458</v>
      </c>
      <c r="I185" s="128" t="s">
        <v>459</v>
      </c>
      <c r="J185" s="212">
        <v>24</v>
      </c>
      <c r="K185" s="128" t="s">
        <v>36</v>
      </c>
      <c r="L185" s="128" t="s">
        <v>671</v>
      </c>
      <c r="M185" s="128" t="s">
        <v>121</v>
      </c>
      <c r="N185" s="128" t="s">
        <v>657</v>
      </c>
    </row>
    <row r="186" spans="1:14" ht="18.75" customHeight="1" x14ac:dyDescent="0.25">
      <c r="A186" s="127" t="s">
        <v>730</v>
      </c>
      <c r="B186" s="128" t="s">
        <v>184</v>
      </c>
      <c r="C186" s="128" t="s">
        <v>185</v>
      </c>
      <c r="D186" s="128" t="s">
        <v>168</v>
      </c>
      <c r="E186" s="133" t="s">
        <v>121</v>
      </c>
      <c r="F186" s="128"/>
      <c r="G186" s="128" t="s">
        <v>684</v>
      </c>
      <c r="H186" s="128" t="s">
        <v>439</v>
      </c>
      <c r="I186" s="128" t="s">
        <v>440</v>
      </c>
      <c r="J186" s="212">
        <v>17</v>
      </c>
      <c r="K186" s="128"/>
      <c r="L186" s="128"/>
      <c r="M186" s="128"/>
      <c r="N186" s="128"/>
    </row>
    <row r="187" spans="1:14" ht="18.75" customHeight="1" x14ac:dyDescent="0.25">
      <c r="A187" s="127">
        <v>1</v>
      </c>
      <c r="B187" s="128" t="s">
        <v>186</v>
      </c>
      <c r="C187" s="128" t="s">
        <v>185</v>
      </c>
      <c r="D187" s="128" t="s">
        <v>168</v>
      </c>
      <c r="E187" s="133" t="s">
        <v>121</v>
      </c>
      <c r="F187" s="128"/>
      <c r="G187" s="128" t="s">
        <v>353</v>
      </c>
      <c r="H187" s="128" t="s">
        <v>354</v>
      </c>
      <c r="I187" s="128" t="s">
        <v>360</v>
      </c>
      <c r="J187" s="212">
        <v>19</v>
      </c>
      <c r="K187" s="128" t="s">
        <v>36</v>
      </c>
      <c r="L187" s="128" t="s">
        <v>656</v>
      </c>
      <c r="M187" s="128" t="s">
        <v>121</v>
      </c>
      <c r="N187" s="128" t="s">
        <v>657</v>
      </c>
    </row>
    <row r="188" spans="1:14" ht="18.75" customHeight="1" x14ac:dyDescent="0.25">
      <c r="A188" s="127">
        <v>2</v>
      </c>
      <c r="B188" s="128" t="s">
        <v>186</v>
      </c>
      <c r="C188" s="128" t="s">
        <v>185</v>
      </c>
      <c r="D188" s="128" t="s">
        <v>168</v>
      </c>
      <c r="E188" s="133" t="s">
        <v>121</v>
      </c>
      <c r="F188" s="128"/>
      <c r="G188" s="128" t="s">
        <v>363</v>
      </c>
      <c r="H188" s="128" t="s">
        <v>364</v>
      </c>
      <c r="I188" s="128" t="s">
        <v>367</v>
      </c>
      <c r="J188" s="212">
        <v>17</v>
      </c>
      <c r="K188" s="128" t="s">
        <v>480</v>
      </c>
      <c r="L188" s="128" t="s">
        <v>658</v>
      </c>
      <c r="M188" s="128" t="s">
        <v>412</v>
      </c>
      <c r="N188" s="128" t="s">
        <v>659</v>
      </c>
    </row>
    <row r="189" spans="1:14" ht="18.75" customHeight="1" x14ac:dyDescent="0.25">
      <c r="A189" s="127">
        <v>3</v>
      </c>
      <c r="B189" s="128" t="s">
        <v>186</v>
      </c>
      <c r="C189" s="128" t="s">
        <v>185</v>
      </c>
      <c r="D189" s="128" t="s">
        <v>168</v>
      </c>
      <c r="E189" s="133" t="s">
        <v>121</v>
      </c>
      <c r="F189" s="128"/>
      <c r="G189" s="128" t="s">
        <v>369</v>
      </c>
      <c r="H189" s="128" t="s">
        <v>370</v>
      </c>
      <c r="I189" s="128" t="s">
        <v>372</v>
      </c>
      <c r="J189" s="212">
        <v>15</v>
      </c>
      <c r="K189" s="128" t="s">
        <v>480</v>
      </c>
      <c r="L189" s="128" t="s">
        <v>658</v>
      </c>
      <c r="M189" s="128" t="s">
        <v>412</v>
      </c>
      <c r="N189" s="128" t="s">
        <v>659</v>
      </c>
    </row>
    <row r="190" spans="1:14" ht="18.75" customHeight="1" x14ac:dyDescent="0.25">
      <c r="A190" s="127">
        <v>4</v>
      </c>
      <c r="B190" s="128" t="s">
        <v>186</v>
      </c>
      <c r="C190" s="128" t="s">
        <v>185</v>
      </c>
      <c r="D190" s="128" t="s">
        <v>168</v>
      </c>
      <c r="E190" s="133" t="s">
        <v>121</v>
      </c>
      <c r="F190" s="128"/>
      <c r="G190" s="128" t="s">
        <v>374</v>
      </c>
      <c r="H190" s="128" t="s">
        <v>375</v>
      </c>
      <c r="I190" s="128" t="s">
        <v>377</v>
      </c>
      <c r="J190" s="212">
        <v>5</v>
      </c>
      <c r="K190" s="128" t="s">
        <v>36</v>
      </c>
      <c r="L190" s="128" t="s">
        <v>660</v>
      </c>
      <c r="M190" s="128" t="s">
        <v>121</v>
      </c>
      <c r="N190" s="128" t="s">
        <v>657</v>
      </c>
    </row>
    <row r="191" spans="1:14" ht="18.75" customHeight="1" x14ac:dyDescent="0.25">
      <c r="A191" s="127">
        <v>5</v>
      </c>
      <c r="B191" s="128" t="s">
        <v>186</v>
      </c>
      <c r="C191" s="128" t="s">
        <v>185</v>
      </c>
      <c r="D191" s="128" t="s">
        <v>168</v>
      </c>
      <c r="E191" s="133" t="s">
        <v>121</v>
      </c>
      <c r="F191" s="128"/>
      <c r="G191" s="128" t="s">
        <v>379</v>
      </c>
      <c r="H191" s="128" t="s">
        <v>380</v>
      </c>
      <c r="I191" s="128" t="s">
        <v>381</v>
      </c>
      <c r="J191" s="212">
        <v>20</v>
      </c>
      <c r="K191" s="128" t="s">
        <v>480</v>
      </c>
      <c r="L191" s="128" t="s">
        <v>658</v>
      </c>
      <c r="M191" s="128" t="s">
        <v>412</v>
      </c>
      <c r="N191" s="128" t="s">
        <v>659</v>
      </c>
    </row>
    <row r="192" spans="1:14" ht="4.5" customHeight="1" x14ac:dyDescent="0.25">
      <c r="A192" s="105">
        <v>6</v>
      </c>
      <c r="B192" s="105" t="s">
        <v>186</v>
      </c>
      <c r="C192" s="105" t="s">
        <v>185</v>
      </c>
      <c r="D192" s="105" t="s">
        <v>168</v>
      </c>
      <c r="E192" s="105" t="s">
        <v>121</v>
      </c>
      <c r="F192" s="105"/>
      <c r="G192" s="105" t="s">
        <v>383</v>
      </c>
      <c r="H192" s="105" t="s">
        <v>384</v>
      </c>
      <c r="I192" s="105" t="s">
        <v>385</v>
      </c>
      <c r="J192" s="201">
        <v>15</v>
      </c>
      <c r="K192" s="105" t="s">
        <v>36</v>
      </c>
      <c r="L192" s="105" t="s">
        <v>661</v>
      </c>
      <c r="M192" s="105" t="s">
        <v>121</v>
      </c>
      <c r="N192" s="105" t="s">
        <v>657</v>
      </c>
    </row>
    <row r="193" spans="1:14" ht="19.5" customHeight="1" x14ac:dyDescent="0.25">
      <c r="A193" s="273" t="s">
        <v>730</v>
      </c>
      <c r="B193" s="260"/>
      <c r="C193" s="260"/>
      <c r="D193" s="260"/>
      <c r="E193" s="260"/>
      <c r="F193" s="260"/>
      <c r="G193" s="260"/>
      <c r="H193" s="260"/>
      <c r="I193" s="260"/>
      <c r="J193" s="260"/>
      <c r="K193" s="260"/>
      <c r="L193" s="260"/>
      <c r="M193" s="260"/>
      <c r="N193" s="261"/>
    </row>
    <row r="194" spans="1:14" ht="18.75" customHeight="1" x14ac:dyDescent="0.25">
      <c r="A194" s="34">
        <v>8</v>
      </c>
      <c r="B194" s="35" t="s">
        <v>186</v>
      </c>
      <c r="C194" s="35" t="s">
        <v>185</v>
      </c>
      <c r="D194" s="35" t="s">
        <v>168</v>
      </c>
      <c r="E194" s="109" t="s">
        <v>121</v>
      </c>
      <c r="F194" s="35"/>
      <c r="G194" s="35" t="s">
        <v>391</v>
      </c>
      <c r="H194" s="35" t="s">
        <v>392</v>
      </c>
      <c r="I194" s="35" t="s">
        <v>393</v>
      </c>
      <c r="J194" s="198">
        <v>10</v>
      </c>
      <c r="K194" s="35" t="s">
        <v>480</v>
      </c>
      <c r="L194" s="35" t="s">
        <v>658</v>
      </c>
      <c r="M194" s="35" t="s">
        <v>412</v>
      </c>
      <c r="N194" s="35" t="s">
        <v>659</v>
      </c>
    </row>
    <row r="195" spans="1:14" ht="18.75" customHeight="1" x14ac:dyDescent="0.25">
      <c r="A195" s="130">
        <v>9</v>
      </c>
      <c r="B195" s="131" t="s">
        <v>186</v>
      </c>
      <c r="C195" s="131" t="s">
        <v>185</v>
      </c>
      <c r="D195" s="131" t="s">
        <v>168</v>
      </c>
      <c r="E195" s="134" t="s">
        <v>121</v>
      </c>
      <c r="F195" s="131"/>
      <c r="G195" s="131" t="s">
        <v>395</v>
      </c>
      <c r="H195" s="131" t="s">
        <v>396</v>
      </c>
      <c r="I195" s="131" t="s">
        <v>360</v>
      </c>
      <c r="J195" s="213">
        <v>20</v>
      </c>
      <c r="K195" s="131" t="s">
        <v>36</v>
      </c>
      <c r="L195" s="131" t="s">
        <v>662</v>
      </c>
      <c r="M195" s="131" t="s">
        <v>121</v>
      </c>
      <c r="N195" s="131" t="s">
        <v>657</v>
      </c>
    </row>
    <row r="196" spans="1:14" ht="18.75" customHeight="1" x14ac:dyDescent="0.25">
      <c r="A196" s="130">
        <v>10</v>
      </c>
      <c r="B196" s="131" t="s">
        <v>186</v>
      </c>
      <c r="C196" s="131" t="s">
        <v>185</v>
      </c>
      <c r="D196" s="131" t="s">
        <v>168</v>
      </c>
      <c r="E196" s="134" t="s">
        <v>121</v>
      </c>
      <c r="F196" s="131"/>
      <c r="G196" s="131" t="s">
        <v>399</v>
      </c>
      <c r="H196" s="131" t="s">
        <v>400</v>
      </c>
      <c r="I196" s="131" t="s">
        <v>372</v>
      </c>
      <c r="J196" s="213">
        <v>11</v>
      </c>
      <c r="K196" s="131" t="s">
        <v>480</v>
      </c>
      <c r="L196" s="131" t="s">
        <v>658</v>
      </c>
      <c r="M196" s="131" t="s">
        <v>412</v>
      </c>
      <c r="N196" s="131" t="s">
        <v>659</v>
      </c>
    </row>
    <row r="197" spans="1:14" ht="18.75" customHeight="1" x14ac:dyDescent="0.25">
      <c r="A197" s="130">
        <v>11</v>
      </c>
      <c r="B197" s="131" t="s">
        <v>186</v>
      </c>
      <c r="C197" s="131" t="s">
        <v>185</v>
      </c>
      <c r="D197" s="131" t="s">
        <v>168</v>
      </c>
      <c r="E197" s="134" t="s">
        <v>121</v>
      </c>
      <c r="F197" s="131"/>
      <c r="G197" s="131" t="s">
        <v>402</v>
      </c>
      <c r="H197" s="131" t="s">
        <v>403</v>
      </c>
      <c r="I197" s="131" t="s">
        <v>404</v>
      </c>
      <c r="J197" s="213">
        <v>16</v>
      </c>
      <c r="K197" s="131" t="s">
        <v>36</v>
      </c>
      <c r="L197" s="131" t="s">
        <v>663</v>
      </c>
      <c r="M197" s="131" t="s">
        <v>121</v>
      </c>
      <c r="N197" s="131" t="s">
        <v>657</v>
      </c>
    </row>
    <row r="198" spans="1:14" ht="18.75" customHeight="1" x14ac:dyDescent="0.25">
      <c r="A198" s="130">
        <v>12</v>
      </c>
      <c r="B198" s="131" t="s">
        <v>186</v>
      </c>
      <c r="C198" s="131" t="s">
        <v>185</v>
      </c>
      <c r="D198" s="131" t="s">
        <v>168</v>
      </c>
      <c r="E198" s="134" t="s">
        <v>121</v>
      </c>
      <c r="F198" s="131"/>
      <c r="G198" s="131" t="s">
        <v>406</v>
      </c>
      <c r="H198" s="131" t="s">
        <v>407</v>
      </c>
      <c r="I198" s="131" t="s">
        <v>367</v>
      </c>
      <c r="J198" s="213">
        <v>13</v>
      </c>
      <c r="K198" s="131" t="s">
        <v>480</v>
      </c>
      <c r="L198" s="131" t="s">
        <v>658</v>
      </c>
      <c r="M198" s="131" t="s">
        <v>412</v>
      </c>
      <c r="N198" s="131" t="s">
        <v>659</v>
      </c>
    </row>
    <row r="199" spans="1:14" ht="18.75" customHeight="1" x14ac:dyDescent="0.25">
      <c r="A199" s="130">
        <v>13</v>
      </c>
      <c r="B199" s="131" t="s">
        <v>186</v>
      </c>
      <c r="C199" s="131" t="s">
        <v>185</v>
      </c>
      <c r="D199" s="131" t="s">
        <v>168</v>
      </c>
      <c r="E199" s="134" t="s">
        <v>121</v>
      </c>
      <c r="F199" s="131"/>
      <c r="G199" s="131" t="s">
        <v>409</v>
      </c>
      <c r="H199" s="131" t="s">
        <v>410</v>
      </c>
      <c r="I199" s="131" t="s">
        <v>360</v>
      </c>
      <c r="J199" s="213">
        <v>15</v>
      </c>
      <c r="K199" s="131" t="s">
        <v>36</v>
      </c>
      <c r="L199" s="131" t="s">
        <v>664</v>
      </c>
      <c r="M199" s="131" t="s">
        <v>121</v>
      </c>
      <c r="N199" s="131" t="s">
        <v>657</v>
      </c>
    </row>
    <row r="200" spans="1:14" ht="18.75" customHeight="1" x14ac:dyDescent="0.25">
      <c r="A200" s="130">
        <v>14</v>
      </c>
      <c r="B200" s="131" t="s">
        <v>186</v>
      </c>
      <c r="C200" s="131" t="s">
        <v>185</v>
      </c>
      <c r="D200" s="131" t="s">
        <v>168</v>
      </c>
      <c r="E200" s="134" t="s">
        <v>121</v>
      </c>
      <c r="F200" s="131"/>
      <c r="G200" s="131" t="s">
        <v>415</v>
      </c>
      <c r="H200" s="131" t="s">
        <v>416</v>
      </c>
      <c r="I200" s="131" t="s">
        <v>385</v>
      </c>
      <c r="J200" s="213">
        <v>13</v>
      </c>
      <c r="K200" s="131" t="s">
        <v>36</v>
      </c>
      <c r="L200" s="131" t="s">
        <v>665</v>
      </c>
      <c r="M200" s="131" t="s">
        <v>121</v>
      </c>
      <c r="N200" s="131" t="s">
        <v>657</v>
      </c>
    </row>
    <row r="201" spans="1:14" ht="18.75" customHeight="1" x14ac:dyDescent="0.25">
      <c r="A201" s="130">
        <v>15</v>
      </c>
      <c r="B201" s="131" t="s">
        <v>186</v>
      </c>
      <c r="C201" s="131" t="s">
        <v>185</v>
      </c>
      <c r="D201" s="131" t="s">
        <v>168</v>
      </c>
      <c r="E201" s="134" t="s">
        <v>121</v>
      </c>
      <c r="F201" s="131"/>
      <c r="G201" s="131" t="s">
        <v>418</v>
      </c>
      <c r="H201" s="131" t="s">
        <v>419</v>
      </c>
      <c r="I201" s="131" t="s">
        <v>421</v>
      </c>
      <c r="J201" s="213">
        <v>13</v>
      </c>
      <c r="K201" s="131" t="s">
        <v>480</v>
      </c>
      <c r="L201" s="131" t="s">
        <v>658</v>
      </c>
      <c r="M201" s="131" t="s">
        <v>412</v>
      </c>
      <c r="N201" s="131" t="s">
        <v>659</v>
      </c>
    </row>
    <row r="202" spans="1:14" ht="18.75" customHeight="1" x14ac:dyDescent="0.25">
      <c r="A202" s="130">
        <v>16</v>
      </c>
      <c r="B202" s="131" t="s">
        <v>186</v>
      </c>
      <c r="C202" s="131" t="s">
        <v>185</v>
      </c>
      <c r="D202" s="131" t="s">
        <v>168</v>
      </c>
      <c r="E202" s="134" t="s">
        <v>121</v>
      </c>
      <c r="F202" s="131"/>
      <c r="G202" s="131" t="s">
        <v>423</v>
      </c>
      <c r="H202" s="131" t="s">
        <v>424</v>
      </c>
      <c r="I202" s="131" t="s">
        <v>425</v>
      </c>
      <c r="J202" s="213">
        <v>5</v>
      </c>
      <c r="K202" s="131" t="s">
        <v>36</v>
      </c>
      <c r="L202" s="131" t="s">
        <v>666</v>
      </c>
      <c r="M202" s="131" t="s">
        <v>121</v>
      </c>
      <c r="N202" s="131" t="s">
        <v>657</v>
      </c>
    </row>
    <row r="203" spans="1:14" ht="18.75" customHeight="1" x14ac:dyDescent="0.25">
      <c r="A203" s="130">
        <v>17</v>
      </c>
      <c r="B203" s="131" t="s">
        <v>186</v>
      </c>
      <c r="C203" s="131" t="s">
        <v>185</v>
      </c>
      <c r="D203" s="131" t="s">
        <v>168</v>
      </c>
      <c r="E203" s="134" t="s">
        <v>121</v>
      </c>
      <c r="F203" s="131"/>
      <c r="G203" s="131" t="s">
        <v>427</v>
      </c>
      <c r="H203" s="131" t="s">
        <v>428</v>
      </c>
      <c r="I203" s="131" t="s">
        <v>429</v>
      </c>
      <c r="J203" s="213">
        <v>11</v>
      </c>
      <c r="K203" s="131" t="s">
        <v>480</v>
      </c>
      <c r="L203" s="131" t="s">
        <v>658</v>
      </c>
      <c r="M203" s="131" t="s">
        <v>412</v>
      </c>
      <c r="N203" s="131" t="s">
        <v>659</v>
      </c>
    </row>
    <row r="204" spans="1:14" ht="18.75" customHeight="1" x14ac:dyDescent="0.25">
      <c r="A204" s="130">
        <v>18</v>
      </c>
      <c r="B204" s="131" t="s">
        <v>186</v>
      </c>
      <c r="C204" s="131" t="s">
        <v>185</v>
      </c>
      <c r="D204" s="131" t="s">
        <v>168</v>
      </c>
      <c r="E204" s="134" t="s">
        <v>121</v>
      </c>
      <c r="F204" s="131"/>
      <c r="G204" s="131" t="s">
        <v>431</v>
      </c>
      <c r="H204" s="131" t="s">
        <v>432</v>
      </c>
      <c r="I204" s="131" t="s">
        <v>360</v>
      </c>
      <c r="J204" s="213">
        <v>7</v>
      </c>
      <c r="K204" s="131" t="s">
        <v>36</v>
      </c>
      <c r="L204" s="131" t="s">
        <v>667</v>
      </c>
      <c r="M204" s="131" t="s">
        <v>121</v>
      </c>
      <c r="N204" s="131" t="s">
        <v>657</v>
      </c>
    </row>
    <row r="205" spans="1:14" ht="18.75" customHeight="1" x14ac:dyDescent="0.25">
      <c r="A205" s="130">
        <v>19</v>
      </c>
      <c r="B205" s="131" t="s">
        <v>186</v>
      </c>
      <c r="C205" s="131" t="s">
        <v>185</v>
      </c>
      <c r="D205" s="131" t="s">
        <v>168</v>
      </c>
      <c r="E205" s="134" t="s">
        <v>121</v>
      </c>
      <c r="F205" s="131"/>
      <c r="G205" s="131" t="s">
        <v>434</v>
      </c>
      <c r="H205" s="131" t="s">
        <v>435</v>
      </c>
      <c r="I205" s="131" t="s">
        <v>436</v>
      </c>
      <c r="J205" s="213">
        <v>12</v>
      </c>
      <c r="K205" s="131" t="s">
        <v>480</v>
      </c>
      <c r="L205" s="131" t="s">
        <v>658</v>
      </c>
      <c r="M205" s="131" t="s">
        <v>412</v>
      </c>
      <c r="N205" s="131" t="s">
        <v>659</v>
      </c>
    </row>
    <row r="206" spans="1:14" ht="18.75" customHeight="1" x14ac:dyDescent="0.25">
      <c r="A206" s="130">
        <v>20</v>
      </c>
      <c r="B206" s="131" t="s">
        <v>186</v>
      </c>
      <c r="C206" s="131" t="s">
        <v>185</v>
      </c>
      <c r="D206" s="131" t="s">
        <v>168</v>
      </c>
      <c r="E206" s="134" t="s">
        <v>121</v>
      </c>
      <c r="F206" s="131"/>
      <c r="G206" s="131" t="s">
        <v>438</v>
      </c>
      <c r="H206" s="131" t="s">
        <v>439</v>
      </c>
      <c r="I206" s="131" t="s">
        <v>440</v>
      </c>
      <c r="J206" s="213">
        <v>18</v>
      </c>
      <c r="K206" s="131" t="s">
        <v>36</v>
      </c>
      <c r="L206" s="131" t="s">
        <v>668</v>
      </c>
      <c r="M206" s="131" t="s">
        <v>121</v>
      </c>
      <c r="N206" s="131" t="s">
        <v>657</v>
      </c>
    </row>
    <row r="207" spans="1:14" ht="18.75" customHeight="1" x14ac:dyDescent="0.25">
      <c r="A207" s="130">
        <v>21</v>
      </c>
      <c r="B207" s="131" t="s">
        <v>186</v>
      </c>
      <c r="C207" s="131" t="s">
        <v>185</v>
      </c>
      <c r="D207" s="131" t="s">
        <v>168</v>
      </c>
      <c r="E207" s="134" t="s">
        <v>121</v>
      </c>
      <c r="F207" s="131"/>
      <c r="G207" s="131" t="s">
        <v>442</v>
      </c>
      <c r="H207" s="131" t="s">
        <v>443</v>
      </c>
      <c r="I207" s="131" t="s">
        <v>381</v>
      </c>
      <c r="J207" s="213">
        <v>20</v>
      </c>
      <c r="K207" s="131" t="s">
        <v>480</v>
      </c>
      <c r="L207" s="131" t="s">
        <v>658</v>
      </c>
      <c r="M207" s="131" t="s">
        <v>412</v>
      </c>
      <c r="N207" s="131" t="s">
        <v>659</v>
      </c>
    </row>
    <row r="208" spans="1:14" ht="18.75" customHeight="1" x14ac:dyDescent="0.25">
      <c r="A208" s="130">
        <v>22</v>
      </c>
      <c r="B208" s="131" t="s">
        <v>186</v>
      </c>
      <c r="C208" s="131" t="s">
        <v>185</v>
      </c>
      <c r="D208" s="131" t="s">
        <v>168</v>
      </c>
      <c r="E208" s="134" t="s">
        <v>121</v>
      </c>
      <c r="F208" s="131"/>
      <c r="G208" s="131" t="s">
        <v>445</v>
      </c>
      <c r="H208" s="131" t="s">
        <v>446</v>
      </c>
      <c r="I208" s="131" t="s">
        <v>372</v>
      </c>
      <c r="J208" s="213">
        <v>12</v>
      </c>
      <c r="K208" s="131" t="s">
        <v>36</v>
      </c>
      <c r="L208" s="131" t="s">
        <v>669</v>
      </c>
      <c r="M208" s="131" t="s">
        <v>121</v>
      </c>
      <c r="N208" s="131" t="s">
        <v>657</v>
      </c>
    </row>
    <row r="209" spans="1:14" ht="18.75" customHeight="1" x14ac:dyDescent="0.25">
      <c r="A209" s="130">
        <v>23</v>
      </c>
      <c r="B209" s="131" t="s">
        <v>186</v>
      </c>
      <c r="C209" s="131" t="s">
        <v>185</v>
      </c>
      <c r="D209" s="131" t="s">
        <v>168</v>
      </c>
      <c r="E209" s="134" t="s">
        <v>121</v>
      </c>
      <c r="F209" s="131"/>
      <c r="G209" s="131" t="s">
        <v>449</v>
      </c>
      <c r="H209" s="131" t="s">
        <v>450</v>
      </c>
      <c r="I209" s="131" t="s">
        <v>451</v>
      </c>
      <c r="J209" s="213">
        <v>20</v>
      </c>
      <c r="K209" s="131" t="s">
        <v>36</v>
      </c>
      <c r="L209" s="131" t="s">
        <v>670</v>
      </c>
      <c r="M209" s="131" t="s">
        <v>121</v>
      </c>
      <c r="N209" s="131" t="s">
        <v>657</v>
      </c>
    </row>
    <row r="210" spans="1:14" ht="18.75" customHeight="1" x14ac:dyDescent="0.25">
      <c r="A210" s="130">
        <v>24</v>
      </c>
      <c r="B210" s="131" t="s">
        <v>186</v>
      </c>
      <c r="C210" s="131" t="s">
        <v>185</v>
      </c>
      <c r="D210" s="131" t="s">
        <v>168</v>
      </c>
      <c r="E210" s="134" t="s">
        <v>121</v>
      </c>
      <c r="F210" s="131"/>
      <c r="G210" s="131" t="s">
        <v>453</v>
      </c>
      <c r="H210" s="131" t="s">
        <v>454</v>
      </c>
      <c r="I210" s="131" t="s">
        <v>455</v>
      </c>
      <c r="J210" s="213">
        <v>20</v>
      </c>
      <c r="K210" s="131" t="s">
        <v>480</v>
      </c>
      <c r="L210" s="131" t="s">
        <v>658</v>
      </c>
      <c r="M210" s="131" t="s">
        <v>412</v>
      </c>
      <c r="N210" s="131" t="s">
        <v>659</v>
      </c>
    </row>
    <row r="211" spans="1:14" ht="18.75" customHeight="1" x14ac:dyDescent="0.25">
      <c r="A211" s="130">
        <v>25</v>
      </c>
      <c r="B211" s="131" t="s">
        <v>186</v>
      </c>
      <c r="C211" s="131" t="s">
        <v>185</v>
      </c>
      <c r="D211" s="131" t="s">
        <v>168</v>
      </c>
      <c r="E211" s="134" t="s">
        <v>121</v>
      </c>
      <c r="F211" s="131"/>
      <c r="G211" s="131" t="s">
        <v>457</v>
      </c>
      <c r="H211" s="131" t="s">
        <v>458</v>
      </c>
      <c r="I211" s="131" t="s">
        <v>459</v>
      </c>
      <c r="J211" s="213">
        <v>19</v>
      </c>
      <c r="K211" s="131" t="s">
        <v>36</v>
      </c>
      <c r="L211" s="131" t="s">
        <v>671</v>
      </c>
      <c r="M211" s="131" t="s">
        <v>121</v>
      </c>
      <c r="N211" s="131" t="s">
        <v>657</v>
      </c>
    </row>
    <row r="212" spans="1:14" ht="4.5" customHeight="1" x14ac:dyDescent="0.25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</row>
    <row r="214" spans="1:14" ht="26.1" customHeight="1" x14ac:dyDescent="0.25">
      <c r="A214" s="272" t="s">
        <v>821</v>
      </c>
      <c r="B214" s="237"/>
      <c r="C214" s="237"/>
      <c r="D214" s="237"/>
      <c r="E214" s="237"/>
      <c r="F214" s="237"/>
      <c r="G214" s="237"/>
      <c r="H214" s="237"/>
      <c r="I214" s="237"/>
      <c r="J214" s="237"/>
      <c r="K214" s="237"/>
      <c r="L214" s="237"/>
      <c r="M214" s="237"/>
      <c r="N214" s="237"/>
    </row>
    <row r="215" spans="1:14" ht="32.1" customHeight="1" x14ac:dyDescent="0.25">
      <c r="A215" s="229" t="s">
        <v>17</v>
      </c>
      <c r="B215" s="229" t="s">
        <v>18</v>
      </c>
      <c r="C215" s="229" t="s">
        <v>692</v>
      </c>
      <c r="D215" s="229" t="s">
        <v>693</v>
      </c>
      <c r="E215" s="229" t="s">
        <v>694</v>
      </c>
      <c r="F215" s="229" t="s">
        <v>695</v>
      </c>
      <c r="G215" s="229" t="s">
        <v>623</v>
      </c>
      <c r="H215" s="229" t="s">
        <v>696</v>
      </c>
      <c r="I215" s="229" t="s">
        <v>697</v>
      </c>
      <c r="J215" s="229" t="s">
        <v>698</v>
      </c>
      <c r="K215" s="229" t="s">
        <v>699</v>
      </c>
      <c r="L215" s="229" t="s">
        <v>700</v>
      </c>
    </row>
    <row r="216" spans="1:14" ht="30" customHeight="1" x14ac:dyDescent="0.25">
      <c r="A216" s="214">
        <v>1</v>
      </c>
      <c r="B216" s="215" t="s">
        <v>165</v>
      </c>
      <c r="C216" s="215" t="s">
        <v>167</v>
      </c>
      <c r="D216" s="214">
        <v>25</v>
      </c>
      <c r="E216" s="214">
        <f>COUNTIF(K5:K216,"PASS")</f>
        <v>101</v>
      </c>
      <c r="F216" s="214">
        <f>COUNTIF(K5:K216,"FAIL")</f>
        <v>92</v>
      </c>
      <c r="G216" s="214">
        <f>COUNTIF(K5:K216,"PARTIAL")</f>
        <v>0</v>
      </c>
      <c r="H216" s="214">
        <f>IF(D216&gt;0,ROUND(E216/D216*100,1),0)</f>
        <v>404</v>
      </c>
      <c r="I216" s="215" t="s">
        <v>353</v>
      </c>
      <c r="J216" s="215" t="s">
        <v>363</v>
      </c>
      <c r="K216" s="214" t="s">
        <v>121</v>
      </c>
      <c r="L216" s="215" t="s">
        <v>702</v>
      </c>
    </row>
    <row r="217" spans="1:14" ht="30" customHeight="1" x14ac:dyDescent="0.25">
      <c r="A217" s="202">
        <v>2</v>
      </c>
      <c r="B217" s="203" t="s">
        <v>170</v>
      </c>
      <c r="C217" s="203" t="s">
        <v>171</v>
      </c>
      <c r="D217" s="202">
        <v>25</v>
      </c>
      <c r="E217" s="202">
        <f>COUNTIF(K32:K217,"PASS")</f>
        <v>88</v>
      </c>
      <c r="F217" s="202">
        <f>COUNTIF(K32:K217,"FAIL")</f>
        <v>80</v>
      </c>
      <c r="G217" s="202">
        <f>COUNTIF(K32:K217,"PARTIAL")</f>
        <v>0</v>
      </c>
      <c r="H217" s="202">
        <f>IF(D217&gt;0,ROUND(E217/D217*100,1),0)</f>
        <v>352</v>
      </c>
      <c r="I217" s="203" t="s">
        <v>374</v>
      </c>
      <c r="J217" s="203" t="s">
        <v>363</v>
      </c>
      <c r="K217" s="202" t="s">
        <v>121</v>
      </c>
      <c r="L217" s="203" t="s">
        <v>702</v>
      </c>
    </row>
    <row r="218" spans="1:14" ht="30" customHeight="1" x14ac:dyDescent="0.25">
      <c r="A218" s="214">
        <v>3</v>
      </c>
      <c r="B218" s="215" t="s">
        <v>172</v>
      </c>
      <c r="C218" s="215" t="s">
        <v>173</v>
      </c>
      <c r="D218" s="214">
        <v>25</v>
      </c>
      <c r="E218" s="214">
        <f>COUNTIF(K57:K218,"PASS")</f>
        <v>76</v>
      </c>
      <c r="F218" s="214">
        <f>COUNTIF(K57:K218,"FAIL")</f>
        <v>68</v>
      </c>
      <c r="G218" s="214">
        <f>COUNTIF(K57:K218,"PARTIAL")</f>
        <v>0</v>
      </c>
      <c r="H218" s="214">
        <f t="shared" ref="H216:H223" si="0">IF(D218&gt;0,ROUND(E218/D218*100,1),0)</f>
        <v>304</v>
      </c>
      <c r="I218" s="215" t="s">
        <v>353</v>
      </c>
      <c r="J218" s="215" t="s">
        <v>369</v>
      </c>
      <c r="K218" s="214" t="s">
        <v>121</v>
      </c>
      <c r="L218" s="215" t="s">
        <v>731</v>
      </c>
    </row>
    <row r="219" spans="1:14" ht="30" customHeight="1" x14ac:dyDescent="0.25">
      <c r="A219" s="202">
        <v>4</v>
      </c>
      <c r="B219" s="203" t="s">
        <v>175</v>
      </c>
      <c r="C219" s="203" t="s">
        <v>176</v>
      </c>
      <c r="D219" s="202">
        <v>25</v>
      </c>
      <c r="E219" s="202">
        <f>COUNTIF(K83:K219,"PASS")</f>
        <v>63</v>
      </c>
      <c r="F219" s="202">
        <f>COUNTIF(K83:K219,"FAIL")</f>
        <v>57</v>
      </c>
      <c r="G219" s="202">
        <f>COUNTIF(K83:K219,"PARTIAL")</f>
        <v>0</v>
      </c>
      <c r="H219" s="202">
        <f>IF(D219&gt;0,ROUND(E219/D219*100,1),0)</f>
        <v>252</v>
      </c>
      <c r="I219" s="203" t="s">
        <v>353</v>
      </c>
      <c r="J219" s="203" t="s">
        <v>363</v>
      </c>
      <c r="K219" s="202" t="s">
        <v>121</v>
      </c>
      <c r="L219" s="203" t="s">
        <v>732</v>
      </c>
    </row>
    <row r="220" spans="1:14" ht="30" customHeight="1" x14ac:dyDescent="0.25">
      <c r="A220" s="214">
        <v>5</v>
      </c>
      <c r="B220" s="215" t="s">
        <v>178</v>
      </c>
      <c r="C220" s="215" t="s">
        <v>179</v>
      </c>
      <c r="D220" s="214">
        <v>25</v>
      </c>
      <c r="E220" s="214">
        <f>COUNTIF(K109:K220,"PASS")</f>
        <v>50</v>
      </c>
      <c r="F220" s="214">
        <f>COUNTIF(K109:K220,"FAIL")</f>
        <v>46</v>
      </c>
      <c r="G220" s="214">
        <f>COUNTIF(K109:K220,"PARTIAL")</f>
        <v>0</v>
      </c>
      <c r="H220" s="214">
        <f>IF(D220&gt;0,ROUND(E220/D220*100,1),0)</f>
        <v>200</v>
      </c>
      <c r="I220" s="215" t="s">
        <v>353</v>
      </c>
      <c r="J220" s="215" t="s">
        <v>363</v>
      </c>
      <c r="K220" s="214" t="s">
        <v>121</v>
      </c>
      <c r="L220" s="215" t="s">
        <v>702</v>
      </c>
    </row>
    <row r="221" spans="1:14" ht="30" customHeight="1" x14ac:dyDescent="0.25">
      <c r="A221" s="202">
        <v>6</v>
      </c>
      <c r="B221" s="203" t="s">
        <v>181</v>
      </c>
      <c r="C221" s="203" t="s">
        <v>182</v>
      </c>
      <c r="D221" s="202">
        <v>25</v>
      </c>
      <c r="E221" s="202">
        <f>COUNTIF(K135:K221,"PASS")</f>
        <v>38</v>
      </c>
      <c r="F221" s="202">
        <f>COUNTIF(K135:K221,"FAIL")</f>
        <v>34</v>
      </c>
      <c r="G221" s="202">
        <f>COUNTIF(K135:K221,"PARTIAL")</f>
        <v>0</v>
      </c>
      <c r="H221" s="202">
        <f t="shared" si="0"/>
        <v>152</v>
      </c>
      <c r="I221" s="203" t="s">
        <v>353</v>
      </c>
      <c r="J221" s="203" t="s">
        <v>363</v>
      </c>
      <c r="K221" s="202" t="s">
        <v>121</v>
      </c>
      <c r="L221" s="203" t="s">
        <v>702</v>
      </c>
    </row>
    <row r="222" spans="1:14" ht="30" customHeight="1" x14ac:dyDescent="0.25">
      <c r="A222" s="214">
        <v>7</v>
      </c>
      <c r="B222" s="215" t="s">
        <v>184</v>
      </c>
      <c r="C222" s="215" t="s">
        <v>185</v>
      </c>
      <c r="D222" s="214">
        <v>25</v>
      </c>
      <c r="E222" s="214">
        <f>COUNTIF(K161:K222,"PASS")</f>
        <v>25</v>
      </c>
      <c r="F222" s="214">
        <f>COUNTIF(K161:K222,"FAIL")</f>
        <v>23</v>
      </c>
      <c r="G222" s="214">
        <f>COUNTIF(K161:K222,"PARTIAL")</f>
        <v>0</v>
      </c>
      <c r="H222" s="214">
        <f t="shared" si="0"/>
        <v>100</v>
      </c>
      <c r="I222" s="215" t="s">
        <v>353</v>
      </c>
      <c r="J222" s="215" t="s">
        <v>363</v>
      </c>
      <c r="K222" s="214" t="s">
        <v>209</v>
      </c>
      <c r="L222" s="215" t="s">
        <v>702</v>
      </c>
    </row>
    <row r="223" spans="1:14" ht="30" customHeight="1" x14ac:dyDescent="0.25">
      <c r="A223" s="202">
        <v>8</v>
      </c>
      <c r="B223" s="203" t="s">
        <v>186</v>
      </c>
      <c r="C223" s="203" t="s">
        <v>185</v>
      </c>
      <c r="D223" s="202">
        <v>25</v>
      </c>
      <c r="E223" s="202">
        <f>COUNTIF(K187:K223,"PASS")</f>
        <v>13</v>
      </c>
      <c r="F223" s="202">
        <f>COUNTIF(K187:K223,"FAIL")</f>
        <v>11</v>
      </c>
      <c r="G223" s="202">
        <f>COUNTIF(K187:K223,"PARTIAL")</f>
        <v>0</v>
      </c>
      <c r="H223" s="202">
        <f t="shared" si="0"/>
        <v>52</v>
      </c>
      <c r="I223" s="203" t="s">
        <v>353</v>
      </c>
      <c r="J223" s="203" t="s">
        <v>363</v>
      </c>
      <c r="K223" s="202" t="s">
        <v>209</v>
      </c>
      <c r="L223" s="203" t="s">
        <v>702</v>
      </c>
    </row>
    <row r="224" spans="1:14" ht="45" x14ac:dyDescent="0.25">
      <c r="H224" s="292" t="s">
        <v>894</v>
      </c>
    </row>
  </sheetData>
  <mergeCells count="11">
    <mergeCell ref="A1:N1"/>
    <mergeCell ref="A214:N214"/>
    <mergeCell ref="A112:N112"/>
    <mergeCell ref="A85:N85"/>
    <mergeCell ref="A193:N193"/>
    <mergeCell ref="A58:N58"/>
    <mergeCell ref="A31:N31"/>
    <mergeCell ref="A4:N4"/>
    <mergeCell ref="A139:N139"/>
    <mergeCell ref="A2:N2"/>
    <mergeCell ref="A166:N166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N305"/>
  <sheetViews>
    <sheetView zoomScaleNormal="100" workbookViewId="0">
      <pane xSplit="1" ySplit="3" topLeftCell="B295" activePane="bottomRight" state="frozen"/>
      <selection pane="topRight" activeCell="B1" sqref="B1"/>
      <selection pane="bottomLeft" activeCell="A291" sqref="A291"/>
      <selection pane="bottomRight" activeCell="G309" sqref="G309"/>
    </sheetView>
  </sheetViews>
  <sheetFormatPr defaultColWidth="8.7109375" defaultRowHeight="15" x14ac:dyDescent="0.25"/>
  <cols>
    <col min="1" max="1" width="4" customWidth="1"/>
    <col min="2" max="2" width="28" customWidth="1"/>
    <col min="3" max="3" width="24" customWidth="1"/>
    <col min="4" max="4" width="18" customWidth="1"/>
    <col min="5" max="5" width="10" customWidth="1"/>
    <col min="6" max="6" width="11" customWidth="1"/>
    <col min="7" max="7" width="22" customWidth="1"/>
    <col min="8" max="8" width="20" customWidth="1"/>
    <col min="9" max="10" width="22" customWidth="1"/>
    <col min="11" max="11" width="14" customWidth="1"/>
    <col min="12" max="12" width="32" customWidth="1"/>
    <col min="13" max="13" width="14" customWidth="1"/>
    <col min="14" max="14" width="28" customWidth="1"/>
  </cols>
  <sheetData>
    <row r="1" spans="1:14" ht="37.5" customHeight="1" x14ac:dyDescent="0.25">
      <c r="A1" s="275" t="s">
        <v>733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</row>
    <row r="2" spans="1:14" ht="15.75" customHeight="1" x14ac:dyDescent="0.25">
      <c r="A2" s="278" t="s">
        <v>648</v>
      </c>
      <c r="B2" s="279"/>
      <c r="C2" s="279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</row>
    <row r="3" spans="1:14" ht="33.75" customHeight="1" x14ac:dyDescent="0.25">
      <c r="A3" s="135" t="s">
        <v>17</v>
      </c>
      <c r="B3" s="135" t="s">
        <v>18</v>
      </c>
      <c r="C3" s="135" t="s">
        <v>97</v>
      </c>
      <c r="D3" s="135" t="s">
        <v>649</v>
      </c>
      <c r="E3" s="135" t="s">
        <v>98</v>
      </c>
      <c r="F3" s="135" t="s">
        <v>650</v>
      </c>
      <c r="G3" s="135" t="s">
        <v>464</v>
      </c>
      <c r="H3" s="135" t="s">
        <v>465</v>
      </c>
      <c r="I3" s="135" t="s">
        <v>651</v>
      </c>
      <c r="J3" s="135" t="s">
        <v>24</v>
      </c>
      <c r="K3" s="135" t="s">
        <v>652</v>
      </c>
      <c r="L3" s="135" t="s">
        <v>26</v>
      </c>
      <c r="M3" s="135" t="s">
        <v>653</v>
      </c>
      <c r="N3" s="135" t="s">
        <v>654</v>
      </c>
    </row>
    <row r="4" spans="1:14" ht="19.5" customHeight="1" x14ac:dyDescent="0.25">
      <c r="A4" s="276" t="s">
        <v>734</v>
      </c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1"/>
    </row>
    <row r="5" spans="1:14" ht="18.75" customHeight="1" x14ac:dyDescent="0.25">
      <c r="A5" s="34">
        <v>1</v>
      </c>
      <c r="B5" s="35" t="s">
        <v>187</v>
      </c>
      <c r="C5" s="35" t="s">
        <v>189</v>
      </c>
      <c r="D5" s="35" t="s">
        <v>129</v>
      </c>
      <c r="E5" s="101" t="s">
        <v>104</v>
      </c>
      <c r="F5" s="35"/>
      <c r="G5" s="35" t="s">
        <v>353</v>
      </c>
      <c r="H5" s="35" t="s">
        <v>354</v>
      </c>
      <c r="I5" s="35" t="s">
        <v>360</v>
      </c>
      <c r="J5" s="198">
        <v>14</v>
      </c>
      <c r="K5" s="35" t="s">
        <v>36</v>
      </c>
      <c r="L5" s="35" t="s">
        <v>656</v>
      </c>
      <c r="M5" s="35" t="s">
        <v>104</v>
      </c>
      <c r="N5" s="35" t="s">
        <v>657</v>
      </c>
    </row>
    <row r="6" spans="1:14" ht="18.75" customHeight="1" x14ac:dyDescent="0.25">
      <c r="A6" s="136">
        <v>2</v>
      </c>
      <c r="B6" s="137" t="s">
        <v>187</v>
      </c>
      <c r="C6" s="137" t="s">
        <v>189</v>
      </c>
      <c r="D6" s="137" t="s">
        <v>129</v>
      </c>
      <c r="E6" s="138" t="s">
        <v>104</v>
      </c>
      <c r="F6" s="137"/>
      <c r="G6" s="137" t="s">
        <v>363</v>
      </c>
      <c r="H6" s="137" t="s">
        <v>364</v>
      </c>
      <c r="I6" s="137" t="s">
        <v>367</v>
      </c>
      <c r="J6" s="216">
        <v>10</v>
      </c>
      <c r="K6" s="137" t="s">
        <v>480</v>
      </c>
      <c r="L6" s="137" t="s">
        <v>658</v>
      </c>
      <c r="M6" s="137" t="s">
        <v>412</v>
      </c>
      <c r="N6" s="137" t="s">
        <v>659</v>
      </c>
    </row>
    <row r="7" spans="1:14" ht="18.75" customHeight="1" x14ac:dyDescent="0.25">
      <c r="A7" s="136">
        <v>3</v>
      </c>
      <c r="B7" s="137" t="s">
        <v>187</v>
      </c>
      <c r="C7" s="137" t="s">
        <v>189</v>
      </c>
      <c r="D7" s="137" t="s">
        <v>129</v>
      </c>
      <c r="E7" s="138" t="s">
        <v>104</v>
      </c>
      <c r="F7" s="137"/>
      <c r="G7" s="137" t="s">
        <v>369</v>
      </c>
      <c r="H7" s="137" t="s">
        <v>370</v>
      </c>
      <c r="I7" s="137" t="s">
        <v>372</v>
      </c>
      <c r="J7" s="216">
        <v>7</v>
      </c>
      <c r="K7" s="137" t="s">
        <v>480</v>
      </c>
      <c r="L7" s="137" t="s">
        <v>658</v>
      </c>
      <c r="M7" s="137" t="s">
        <v>412</v>
      </c>
      <c r="N7" s="137" t="s">
        <v>659</v>
      </c>
    </row>
    <row r="8" spans="1:14" ht="18.75" customHeight="1" x14ac:dyDescent="0.25">
      <c r="A8" s="136">
        <v>4</v>
      </c>
      <c r="B8" s="137" t="s">
        <v>187</v>
      </c>
      <c r="C8" s="137" t="s">
        <v>189</v>
      </c>
      <c r="D8" s="137" t="s">
        <v>129</v>
      </c>
      <c r="E8" s="138" t="s">
        <v>104</v>
      </c>
      <c r="F8" s="137"/>
      <c r="G8" s="137" t="s">
        <v>374</v>
      </c>
      <c r="H8" s="137" t="s">
        <v>375</v>
      </c>
      <c r="I8" s="137" t="s">
        <v>377</v>
      </c>
      <c r="J8" s="216">
        <v>7</v>
      </c>
      <c r="K8" s="137" t="s">
        <v>36</v>
      </c>
      <c r="L8" s="137" t="s">
        <v>660</v>
      </c>
      <c r="M8" s="137" t="s">
        <v>104</v>
      </c>
      <c r="N8" s="137" t="s">
        <v>657</v>
      </c>
    </row>
    <row r="9" spans="1:14" ht="18.75" customHeight="1" x14ac:dyDescent="0.25">
      <c r="A9" s="136">
        <v>5</v>
      </c>
      <c r="B9" s="137" t="s">
        <v>187</v>
      </c>
      <c r="C9" s="137" t="s">
        <v>189</v>
      </c>
      <c r="D9" s="137" t="s">
        <v>129</v>
      </c>
      <c r="E9" s="138" t="s">
        <v>104</v>
      </c>
      <c r="F9" s="137"/>
      <c r="G9" s="137" t="s">
        <v>379</v>
      </c>
      <c r="H9" s="137" t="s">
        <v>380</v>
      </c>
      <c r="I9" s="137" t="s">
        <v>381</v>
      </c>
      <c r="J9" s="216">
        <v>7</v>
      </c>
      <c r="K9" s="137" t="s">
        <v>480</v>
      </c>
      <c r="L9" s="137" t="s">
        <v>658</v>
      </c>
      <c r="M9" s="137" t="s">
        <v>412</v>
      </c>
      <c r="N9" s="137" t="s">
        <v>659</v>
      </c>
    </row>
    <row r="10" spans="1:14" ht="18.75" customHeight="1" x14ac:dyDescent="0.25">
      <c r="A10" s="136">
        <v>6</v>
      </c>
      <c r="B10" s="137" t="s">
        <v>187</v>
      </c>
      <c r="C10" s="137" t="s">
        <v>189</v>
      </c>
      <c r="D10" s="137" t="s">
        <v>129</v>
      </c>
      <c r="E10" s="138" t="s">
        <v>104</v>
      </c>
      <c r="F10" s="137"/>
      <c r="G10" s="137" t="s">
        <v>383</v>
      </c>
      <c r="H10" s="137" t="s">
        <v>384</v>
      </c>
      <c r="I10" s="137" t="s">
        <v>385</v>
      </c>
      <c r="J10" s="216">
        <v>6</v>
      </c>
      <c r="K10" s="137" t="s">
        <v>36</v>
      </c>
      <c r="L10" s="137" t="s">
        <v>661</v>
      </c>
      <c r="M10" s="137" t="s">
        <v>104</v>
      </c>
      <c r="N10" s="137" t="s">
        <v>657</v>
      </c>
    </row>
    <row r="11" spans="1:14" ht="18.75" customHeight="1" x14ac:dyDescent="0.25">
      <c r="A11" s="136">
        <v>7</v>
      </c>
      <c r="B11" s="137" t="s">
        <v>187</v>
      </c>
      <c r="C11" s="137" t="s">
        <v>189</v>
      </c>
      <c r="D11" s="137" t="s">
        <v>129</v>
      </c>
      <c r="E11" s="138" t="s">
        <v>104</v>
      </c>
      <c r="F11" s="137"/>
      <c r="G11" s="137" t="s">
        <v>387</v>
      </c>
      <c r="H11" s="137" t="s">
        <v>388</v>
      </c>
      <c r="I11" s="137" t="s">
        <v>389</v>
      </c>
      <c r="J11" s="216">
        <v>4</v>
      </c>
      <c r="K11" s="137" t="s">
        <v>480</v>
      </c>
      <c r="L11" s="137" t="s">
        <v>658</v>
      </c>
      <c r="M11" s="137" t="s">
        <v>412</v>
      </c>
      <c r="N11" s="137" t="s">
        <v>659</v>
      </c>
    </row>
    <row r="12" spans="1:14" ht="18.75" customHeight="1" x14ac:dyDescent="0.25">
      <c r="A12" s="136">
        <v>8</v>
      </c>
      <c r="B12" s="137" t="s">
        <v>187</v>
      </c>
      <c r="C12" s="137" t="s">
        <v>189</v>
      </c>
      <c r="D12" s="137" t="s">
        <v>129</v>
      </c>
      <c r="E12" s="138" t="s">
        <v>104</v>
      </c>
      <c r="F12" s="137"/>
      <c r="G12" s="137" t="s">
        <v>391</v>
      </c>
      <c r="H12" s="137" t="s">
        <v>392</v>
      </c>
      <c r="I12" s="137" t="s">
        <v>393</v>
      </c>
      <c r="J12" s="216">
        <v>14</v>
      </c>
      <c r="K12" s="137" t="s">
        <v>480</v>
      </c>
      <c r="L12" s="137" t="s">
        <v>658</v>
      </c>
      <c r="M12" s="137" t="s">
        <v>412</v>
      </c>
      <c r="N12" s="137" t="s">
        <v>659</v>
      </c>
    </row>
    <row r="13" spans="1:14" ht="18.75" customHeight="1" x14ac:dyDescent="0.25">
      <c r="A13" s="136">
        <v>9</v>
      </c>
      <c r="B13" s="137" t="s">
        <v>187</v>
      </c>
      <c r="C13" s="137" t="s">
        <v>189</v>
      </c>
      <c r="D13" s="137" t="s">
        <v>129</v>
      </c>
      <c r="E13" s="138" t="s">
        <v>104</v>
      </c>
      <c r="F13" s="137"/>
      <c r="G13" s="137" t="s">
        <v>395</v>
      </c>
      <c r="H13" s="137" t="s">
        <v>396</v>
      </c>
      <c r="I13" s="137" t="s">
        <v>360</v>
      </c>
      <c r="J13" s="216">
        <v>6</v>
      </c>
      <c r="K13" s="137" t="s">
        <v>36</v>
      </c>
      <c r="L13" s="137" t="s">
        <v>662</v>
      </c>
      <c r="M13" s="137" t="s">
        <v>104</v>
      </c>
      <c r="N13" s="137" t="s">
        <v>657</v>
      </c>
    </row>
    <row r="14" spans="1:14" ht="18.75" customHeight="1" x14ac:dyDescent="0.25">
      <c r="A14" s="136">
        <v>10</v>
      </c>
      <c r="B14" s="137" t="s">
        <v>187</v>
      </c>
      <c r="C14" s="137" t="s">
        <v>189</v>
      </c>
      <c r="D14" s="137" t="s">
        <v>129</v>
      </c>
      <c r="E14" s="138" t="s">
        <v>104</v>
      </c>
      <c r="F14" s="137"/>
      <c r="G14" s="137" t="s">
        <v>399</v>
      </c>
      <c r="H14" s="137" t="s">
        <v>400</v>
      </c>
      <c r="I14" s="137" t="s">
        <v>372</v>
      </c>
      <c r="J14" s="216">
        <v>8</v>
      </c>
      <c r="K14" s="137" t="s">
        <v>480</v>
      </c>
      <c r="L14" s="137" t="s">
        <v>658</v>
      </c>
      <c r="M14" s="137" t="s">
        <v>412</v>
      </c>
      <c r="N14" s="137" t="s">
        <v>659</v>
      </c>
    </row>
    <row r="15" spans="1:14" ht="18.75" customHeight="1" x14ac:dyDescent="0.25">
      <c r="A15" s="136">
        <v>11</v>
      </c>
      <c r="B15" s="137" t="s">
        <v>187</v>
      </c>
      <c r="C15" s="137" t="s">
        <v>189</v>
      </c>
      <c r="D15" s="137" t="s">
        <v>129</v>
      </c>
      <c r="E15" s="138" t="s">
        <v>104</v>
      </c>
      <c r="F15" s="137"/>
      <c r="G15" s="137" t="s">
        <v>402</v>
      </c>
      <c r="H15" s="137" t="s">
        <v>403</v>
      </c>
      <c r="I15" s="137" t="s">
        <v>404</v>
      </c>
      <c r="J15" s="216">
        <v>4</v>
      </c>
      <c r="K15" s="137" t="s">
        <v>36</v>
      </c>
      <c r="L15" s="137" t="s">
        <v>663</v>
      </c>
      <c r="M15" s="137" t="s">
        <v>104</v>
      </c>
      <c r="N15" s="137" t="s">
        <v>657</v>
      </c>
    </row>
    <row r="16" spans="1:14" ht="18.75" customHeight="1" x14ac:dyDescent="0.25">
      <c r="A16" s="136">
        <v>12</v>
      </c>
      <c r="B16" s="137" t="s">
        <v>187</v>
      </c>
      <c r="C16" s="137" t="s">
        <v>189</v>
      </c>
      <c r="D16" s="137" t="s">
        <v>129</v>
      </c>
      <c r="E16" s="138" t="s">
        <v>104</v>
      </c>
      <c r="F16" s="137"/>
      <c r="G16" s="137" t="s">
        <v>406</v>
      </c>
      <c r="H16" s="137" t="s">
        <v>407</v>
      </c>
      <c r="I16" s="137" t="s">
        <v>367</v>
      </c>
      <c r="J16" s="216">
        <v>14</v>
      </c>
      <c r="K16" s="137" t="s">
        <v>480</v>
      </c>
      <c r="L16" s="137" t="s">
        <v>658</v>
      </c>
      <c r="M16" s="137" t="s">
        <v>412</v>
      </c>
      <c r="N16" s="137" t="s">
        <v>659</v>
      </c>
    </row>
    <row r="17" spans="1:14" ht="18.75" customHeight="1" x14ac:dyDescent="0.25">
      <c r="A17" s="136">
        <v>13</v>
      </c>
      <c r="B17" s="137" t="s">
        <v>187</v>
      </c>
      <c r="C17" s="137" t="s">
        <v>189</v>
      </c>
      <c r="D17" s="137" t="s">
        <v>129</v>
      </c>
      <c r="E17" s="138" t="s">
        <v>104</v>
      </c>
      <c r="F17" s="137"/>
      <c r="G17" s="137" t="s">
        <v>409</v>
      </c>
      <c r="H17" s="137" t="s">
        <v>410</v>
      </c>
      <c r="I17" s="137" t="s">
        <v>360</v>
      </c>
      <c r="J17" s="216">
        <v>11</v>
      </c>
      <c r="K17" s="137" t="s">
        <v>36</v>
      </c>
      <c r="L17" s="137" t="s">
        <v>664</v>
      </c>
      <c r="M17" s="137" t="s">
        <v>104</v>
      </c>
      <c r="N17" s="137" t="s">
        <v>657</v>
      </c>
    </row>
    <row r="18" spans="1:14" ht="18.75" customHeight="1" x14ac:dyDescent="0.25">
      <c r="A18" s="136">
        <v>14</v>
      </c>
      <c r="B18" s="137" t="s">
        <v>187</v>
      </c>
      <c r="C18" s="137" t="s">
        <v>189</v>
      </c>
      <c r="D18" s="137" t="s">
        <v>129</v>
      </c>
      <c r="E18" s="138" t="s">
        <v>104</v>
      </c>
      <c r="F18" s="137"/>
      <c r="G18" s="137" t="s">
        <v>415</v>
      </c>
      <c r="H18" s="137" t="s">
        <v>416</v>
      </c>
      <c r="I18" s="137" t="s">
        <v>385</v>
      </c>
      <c r="J18" s="216">
        <v>15</v>
      </c>
      <c r="K18" s="137" t="s">
        <v>36</v>
      </c>
      <c r="L18" s="137" t="s">
        <v>665</v>
      </c>
      <c r="M18" s="137" t="s">
        <v>104</v>
      </c>
      <c r="N18" s="137" t="s">
        <v>657</v>
      </c>
    </row>
    <row r="19" spans="1:14" ht="18.75" customHeight="1" x14ac:dyDescent="0.25">
      <c r="A19" s="136">
        <v>15</v>
      </c>
      <c r="B19" s="137" t="s">
        <v>187</v>
      </c>
      <c r="C19" s="137" t="s">
        <v>189</v>
      </c>
      <c r="D19" s="137" t="s">
        <v>129</v>
      </c>
      <c r="E19" s="138" t="s">
        <v>104</v>
      </c>
      <c r="F19" s="137"/>
      <c r="G19" s="137" t="s">
        <v>418</v>
      </c>
      <c r="H19" s="137" t="s">
        <v>419</v>
      </c>
      <c r="I19" s="137" t="s">
        <v>421</v>
      </c>
      <c r="J19" s="216">
        <v>14</v>
      </c>
      <c r="K19" s="137" t="s">
        <v>480</v>
      </c>
      <c r="L19" s="137" t="s">
        <v>658</v>
      </c>
      <c r="M19" s="137" t="s">
        <v>412</v>
      </c>
      <c r="N19" s="137" t="s">
        <v>659</v>
      </c>
    </row>
    <row r="20" spans="1:14" ht="18.75" customHeight="1" x14ac:dyDescent="0.25">
      <c r="A20" s="136">
        <v>16</v>
      </c>
      <c r="B20" s="137" t="s">
        <v>187</v>
      </c>
      <c r="C20" s="137" t="s">
        <v>189</v>
      </c>
      <c r="D20" s="137" t="s">
        <v>129</v>
      </c>
      <c r="E20" s="138" t="s">
        <v>104</v>
      </c>
      <c r="F20" s="137"/>
      <c r="G20" s="137" t="s">
        <v>423</v>
      </c>
      <c r="H20" s="137" t="s">
        <v>424</v>
      </c>
      <c r="I20" s="137" t="s">
        <v>425</v>
      </c>
      <c r="J20" s="216">
        <v>5</v>
      </c>
      <c r="K20" s="137" t="s">
        <v>36</v>
      </c>
      <c r="L20" s="137" t="s">
        <v>666</v>
      </c>
      <c r="M20" s="137" t="s">
        <v>104</v>
      </c>
      <c r="N20" s="137" t="s">
        <v>657</v>
      </c>
    </row>
    <row r="21" spans="1:14" ht="18.75" customHeight="1" x14ac:dyDescent="0.25">
      <c r="A21" s="136">
        <v>17</v>
      </c>
      <c r="B21" s="137" t="s">
        <v>187</v>
      </c>
      <c r="C21" s="137" t="s">
        <v>189</v>
      </c>
      <c r="D21" s="137" t="s">
        <v>129</v>
      </c>
      <c r="E21" s="138" t="s">
        <v>104</v>
      </c>
      <c r="F21" s="137"/>
      <c r="G21" s="137" t="s">
        <v>427</v>
      </c>
      <c r="H21" s="137" t="s">
        <v>428</v>
      </c>
      <c r="I21" s="137" t="s">
        <v>429</v>
      </c>
      <c r="J21" s="216">
        <v>6</v>
      </c>
      <c r="K21" s="137" t="s">
        <v>480</v>
      </c>
      <c r="L21" s="137" t="s">
        <v>658</v>
      </c>
      <c r="M21" s="137" t="s">
        <v>412</v>
      </c>
      <c r="N21" s="137" t="s">
        <v>659</v>
      </c>
    </row>
    <row r="22" spans="1:14" ht="18.75" customHeight="1" x14ac:dyDescent="0.25">
      <c r="A22" s="136">
        <v>18</v>
      </c>
      <c r="B22" s="137" t="s">
        <v>187</v>
      </c>
      <c r="C22" s="137" t="s">
        <v>189</v>
      </c>
      <c r="D22" s="137" t="s">
        <v>129</v>
      </c>
      <c r="E22" s="138" t="s">
        <v>104</v>
      </c>
      <c r="F22" s="137"/>
      <c r="G22" s="137" t="s">
        <v>431</v>
      </c>
      <c r="H22" s="137" t="s">
        <v>432</v>
      </c>
      <c r="I22" s="137" t="s">
        <v>360</v>
      </c>
      <c r="J22" s="216">
        <v>6</v>
      </c>
      <c r="K22" s="137" t="s">
        <v>36</v>
      </c>
      <c r="L22" s="137" t="s">
        <v>667</v>
      </c>
      <c r="M22" s="137" t="s">
        <v>104</v>
      </c>
      <c r="N22" s="137" t="s">
        <v>657</v>
      </c>
    </row>
    <row r="23" spans="1:14" ht="18.75" customHeight="1" x14ac:dyDescent="0.25">
      <c r="A23" s="136">
        <v>19</v>
      </c>
      <c r="B23" s="137" t="s">
        <v>187</v>
      </c>
      <c r="C23" s="137" t="s">
        <v>189</v>
      </c>
      <c r="D23" s="137" t="s">
        <v>129</v>
      </c>
      <c r="E23" s="138" t="s">
        <v>104</v>
      </c>
      <c r="F23" s="137"/>
      <c r="G23" s="137" t="s">
        <v>434</v>
      </c>
      <c r="H23" s="137" t="s">
        <v>435</v>
      </c>
      <c r="I23" s="137" t="s">
        <v>436</v>
      </c>
      <c r="J23" s="216">
        <v>14</v>
      </c>
      <c r="K23" s="137" t="s">
        <v>480</v>
      </c>
      <c r="L23" s="137" t="s">
        <v>658</v>
      </c>
      <c r="M23" s="137" t="s">
        <v>412</v>
      </c>
      <c r="N23" s="137" t="s">
        <v>659</v>
      </c>
    </row>
    <row r="24" spans="1:14" ht="18.75" customHeight="1" x14ac:dyDescent="0.25">
      <c r="A24" s="136">
        <v>20</v>
      </c>
      <c r="B24" s="137" t="s">
        <v>187</v>
      </c>
      <c r="C24" s="137" t="s">
        <v>189</v>
      </c>
      <c r="D24" s="137" t="s">
        <v>129</v>
      </c>
      <c r="E24" s="138" t="s">
        <v>104</v>
      </c>
      <c r="F24" s="137"/>
      <c r="G24" s="137" t="s">
        <v>438</v>
      </c>
      <c r="H24" s="137" t="s">
        <v>439</v>
      </c>
      <c r="I24" s="137" t="s">
        <v>440</v>
      </c>
      <c r="J24" s="216">
        <v>10</v>
      </c>
      <c r="K24" s="137" t="s">
        <v>36</v>
      </c>
      <c r="L24" s="137" t="s">
        <v>668</v>
      </c>
      <c r="M24" s="137" t="s">
        <v>104</v>
      </c>
      <c r="N24" s="137" t="s">
        <v>657</v>
      </c>
    </row>
    <row r="25" spans="1:14" ht="18.75" customHeight="1" x14ac:dyDescent="0.25">
      <c r="A25" s="136">
        <v>21</v>
      </c>
      <c r="B25" s="137" t="s">
        <v>187</v>
      </c>
      <c r="C25" s="137" t="s">
        <v>189</v>
      </c>
      <c r="D25" s="137" t="s">
        <v>129</v>
      </c>
      <c r="E25" s="138" t="s">
        <v>104</v>
      </c>
      <c r="F25" s="137"/>
      <c r="G25" s="137" t="s">
        <v>442</v>
      </c>
      <c r="H25" s="137" t="s">
        <v>443</v>
      </c>
      <c r="I25" s="137" t="s">
        <v>381</v>
      </c>
      <c r="J25" s="216">
        <v>7</v>
      </c>
      <c r="K25" s="137" t="s">
        <v>480</v>
      </c>
      <c r="L25" s="137" t="s">
        <v>658</v>
      </c>
      <c r="M25" s="137" t="s">
        <v>412</v>
      </c>
      <c r="N25" s="137" t="s">
        <v>659</v>
      </c>
    </row>
    <row r="26" spans="1:14" ht="18.75" customHeight="1" x14ac:dyDescent="0.25">
      <c r="A26" s="136">
        <v>22</v>
      </c>
      <c r="B26" s="137" t="s">
        <v>187</v>
      </c>
      <c r="C26" s="137" t="s">
        <v>189</v>
      </c>
      <c r="D26" s="137" t="s">
        <v>129</v>
      </c>
      <c r="E26" s="138" t="s">
        <v>104</v>
      </c>
      <c r="F26" s="137"/>
      <c r="G26" s="137" t="s">
        <v>445</v>
      </c>
      <c r="H26" s="137" t="s">
        <v>446</v>
      </c>
      <c r="I26" s="137" t="s">
        <v>372</v>
      </c>
      <c r="J26" s="216">
        <v>14</v>
      </c>
      <c r="K26" s="137" t="s">
        <v>36</v>
      </c>
      <c r="L26" s="137" t="s">
        <v>669</v>
      </c>
      <c r="M26" s="137" t="s">
        <v>104</v>
      </c>
      <c r="N26" s="137" t="s">
        <v>657</v>
      </c>
    </row>
    <row r="27" spans="1:14" ht="18.75" customHeight="1" x14ac:dyDescent="0.25">
      <c r="A27" s="136">
        <v>23</v>
      </c>
      <c r="B27" s="137" t="s">
        <v>187</v>
      </c>
      <c r="C27" s="137" t="s">
        <v>189</v>
      </c>
      <c r="D27" s="137" t="s">
        <v>129</v>
      </c>
      <c r="E27" s="138" t="s">
        <v>104</v>
      </c>
      <c r="F27" s="137"/>
      <c r="G27" s="137" t="s">
        <v>449</v>
      </c>
      <c r="H27" s="137" t="s">
        <v>450</v>
      </c>
      <c r="I27" s="137" t="s">
        <v>451</v>
      </c>
      <c r="J27" s="216">
        <v>12</v>
      </c>
      <c r="K27" s="137" t="s">
        <v>36</v>
      </c>
      <c r="L27" s="137" t="s">
        <v>670</v>
      </c>
      <c r="M27" s="137" t="s">
        <v>104</v>
      </c>
      <c r="N27" s="137" t="s">
        <v>657</v>
      </c>
    </row>
    <row r="28" spans="1:14" ht="18.75" customHeight="1" x14ac:dyDescent="0.25">
      <c r="A28" s="136">
        <v>24</v>
      </c>
      <c r="B28" s="137" t="s">
        <v>187</v>
      </c>
      <c r="C28" s="137" t="s">
        <v>189</v>
      </c>
      <c r="D28" s="137" t="s">
        <v>129</v>
      </c>
      <c r="E28" s="138" t="s">
        <v>104</v>
      </c>
      <c r="F28" s="137"/>
      <c r="G28" s="137" t="s">
        <v>453</v>
      </c>
      <c r="H28" s="137" t="s">
        <v>454</v>
      </c>
      <c r="I28" s="137" t="s">
        <v>455</v>
      </c>
      <c r="J28" s="216">
        <v>15</v>
      </c>
      <c r="K28" s="137" t="s">
        <v>480</v>
      </c>
      <c r="L28" s="137" t="s">
        <v>658</v>
      </c>
      <c r="M28" s="137" t="s">
        <v>412</v>
      </c>
      <c r="N28" s="137" t="s">
        <v>659</v>
      </c>
    </row>
    <row r="29" spans="1:14" ht="18.75" customHeight="1" x14ac:dyDescent="0.25">
      <c r="A29" s="136">
        <v>25</v>
      </c>
      <c r="B29" s="137" t="s">
        <v>187</v>
      </c>
      <c r="C29" s="137" t="s">
        <v>189</v>
      </c>
      <c r="D29" s="137" t="s">
        <v>129</v>
      </c>
      <c r="E29" s="138" t="s">
        <v>104</v>
      </c>
      <c r="F29" s="137"/>
      <c r="G29" s="137" t="s">
        <v>457</v>
      </c>
      <c r="H29" s="137" t="s">
        <v>458</v>
      </c>
      <c r="I29" s="137" t="s">
        <v>459</v>
      </c>
      <c r="J29" s="216">
        <v>11</v>
      </c>
      <c r="K29" s="137" t="s">
        <v>36</v>
      </c>
      <c r="L29" s="137" t="s">
        <v>671</v>
      </c>
      <c r="M29" s="137" t="s">
        <v>104</v>
      </c>
      <c r="N29" s="137" t="s">
        <v>657</v>
      </c>
    </row>
    <row r="30" spans="1:14" ht="4.5" customHeight="1" x14ac:dyDescent="0.25">
      <c r="A30" s="105" t="s">
        <v>735</v>
      </c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</row>
    <row r="31" spans="1:14" ht="19.5" customHeight="1" x14ac:dyDescent="0.25">
      <c r="A31" s="276" t="s">
        <v>735</v>
      </c>
      <c r="B31" s="260"/>
      <c r="C31" s="260"/>
      <c r="D31" s="260"/>
      <c r="E31" s="260"/>
      <c r="F31" s="260"/>
      <c r="G31" s="260"/>
      <c r="H31" s="260"/>
      <c r="I31" s="260"/>
      <c r="J31" s="260"/>
      <c r="K31" s="260"/>
      <c r="L31" s="260"/>
      <c r="M31" s="260"/>
      <c r="N31" s="261"/>
    </row>
    <row r="32" spans="1:14" ht="18.75" customHeight="1" x14ac:dyDescent="0.25">
      <c r="A32" s="34">
        <v>2</v>
      </c>
      <c r="B32" s="35" t="s">
        <v>191</v>
      </c>
      <c r="C32" s="35" t="s">
        <v>189</v>
      </c>
      <c r="D32" s="35" t="s">
        <v>129</v>
      </c>
      <c r="E32" s="109" t="s">
        <v>121</v>
      </c>
      <c r="F32" s="35"/>
      <c r="G32" s="35" t="s">
        <v>363</v>
      </c>
      <c r="H32" s="35" t="s">
        <v>364</v>
      </c>
      <c r="I32" s="35" t="s">
        <v>367</v>
      </c>
      <c r="J32" s="198">
        <v>14</v>
      </c>
      <c r="K32" s="35" t="s">
        <v>480</v>
      </c>
      <c r="L32" s="35" t="s">
        <v>658</v>
      </c>
      <c r="M32" s="35" t="s">
        <v>412</v>
      </c>
      <c r="N32" s="35" t="s">
        <v>659</v>
      </c>
    </row>
    <row r="33" spans="1:14" ht="18.75" customHeight="1" x14ac:dyDescent="0.25">
      <c r="A33" s="139">
        <v>3</v>
      </c>
      <c r="B33" s="140" t="s">
        <v>191</v>
      </c>
      <c r="C33" s="140" t="s">
        <v>189</v>
      </c>
      <c r="D33" s="140" t="s">
        <v>129</v>
      </c>
      <c r="E33" s="141" t="s">
        <v>121</v>
      </c>
      <c r="F33" s="140"/>
      <c r="G33" s="140" t="s">
        <v>369</v>
      </c>
      <c r="H33" s="140" t="s">
        <v>370</v>
      </c>
      <c r="I33" s="140" t="s">
        <v>372</v>
      </c>
      <c r="J33" s="217">
        <v>8</v>
      </c>
      <c r="K33" s="140" t="s">
        <v>480</v>
      </c>
      <c r="L33" s="140" t="s">
        <v>658</v>
      </c>
      <c r="M33" s="140" t="s">
        <v>412</v>
      </c>
      <c r="N33" s="140" t="s">
        <v>659</v>
      </c>
    </row>
    <row r="34" spans="1:14" ht="18.75" customHeight="1" x14ac:dyDescent="0.25">
      <c r="A34" s="139">
        <v>4</v>
      </c>
      <c r="B34" s="140" t="s">
        <v>191</v>
      </c>
      <c r="C34" s="140" t="s">
        <v>189</v>
      </c>
      <c r="D34" s="140" t="s">
        <v>129</v>
      </c>
      <c r="E34" s="141" t="s">
        <v>121</v>
      </c>
      <c r="F34" s="140"/>
      <c r="G34" s="140" t="s">
        <v>374</v>
      </c>
      <c r="H34" s="140" t="s">
        <v>375</v>
      </c>
      <c r="I34" s="140" t="s">
        <v>377</v>
      </c>
      <c r="J34" s="217">
        <v>11</v>
      </c>
      <c r="K34" s="140" t="s">
        <v>36</v>
      </c>
      <c r="L34" s="140" t="s">
        <v>660</v>
      </c>
      <c r="M34" s="140" t="s">
        <v>121</v>
      </c>
      <c r="N34" s="140" t="s">
        <v>657</v>
      </c>
    </row>
    <row r="35" spans="1:14" ht="18.75" customHeight="1" x14ac:dyDescent="0.25">
      <c r="A35" s="139">
        <v>5</v>
      </c>
      <c r="B35" s="140" t="s">
        <v>191</v>
      </c>
      <c r="C35" s="140" t="s">
        <v>189</v>
      </c>
      <c r="D35" s="140" t="s">
        <v>129</v>
      </c>
      <c r="E35" s="141" t="s">
        <v>121</v>
      </c>
      <c r="F35" s="140"/>
      <c r="G35" s="140" t="s">
        <v>379</v>
      </c>
      <c r="H35" s="140" t="s">
        <v>380</v>
      </c>
      <c r="I35" s="140" t="s">
        <v>381</v>
      </c>
      <c r="J35" s="217">
        <v>14</v>
      </c>
      <c r="K35" s="140" t="s">
        <v>480</v>
      </c>
      <c r="L35" s="140" t="s">
        <v>658</v>
      </c>
      <c r="M35" s="140" t="s">
        <v>412</v>
      </c>
      <c r="N35" s="140" t="s">
        <v>659</v>
      </c>
    </row>
    <row r="36" spans="1:14" ht="18.75" customHeight="1" x14ac:dyDescent="0.25">
      <c r="A36" s="139">
        <v>6</v>
      </c>
      <c r="B36" s="140" t="s">
        <v>191</v>
      </c>
      <c r="C36" s="140" t="s">
        <v>189</v>
      </c>
      <c r="D36" s="140" t="s">
        <v>129</v>
      </c>
      <c r="E36" s="141" t="s">
        <v>121</v>
      </c>
      <c r="F36" s="140"/>
      <c r="G36" s="140" t="s">
        <v>383</v>
      </c>
      <c r="H36" s="140" t="s">
        <v>384</v>
      </c>
      <c r="I36" s="140" t="s">
        <v>385</v>
      </c>
      <c r="J36" s="217">
        <v>12</v>
      </c>
      <c r="K36" s="140" t="s">
        <v>36</v>
      </c>
      <c r="L36" s="140" t="s">
        <v>661</v>
      </c>
      <c r="M36" s="140" t="s">
        <v>121</v>
      </c>
      <c r="N36" s="140" t="s">
        <v>657</v>
      </c>
    </row>
    <row r="37" spans="1:14" ht="18.75" customHeight="1" x14ac:dyDescent="0.25">
      <c r="A37" s="139">
        <v>7</v>
      </c>
      <c r="B37" s="140" t="s">
        <v>191</v>
      </c>
      <c r="C37" s="140" t="s">
        <v>189</v>
      </c>
      <c r="D37" s="140" t="s">
        <v>129</v>
      </c>
      <c r="E37" s="141" t="s">
        <v>121</v>
      </c>
      <c r="F37" s="140"/>
      <c r="G37" s="140" t="s">
        <v>387</v>
      </c>
      <c r="H37" s="140" t="s">
        <v>388</v>
      </c>
      <c r="I37" s="140" t="s">
        <v>389</v>
      </c>
      <c r="J37" s="217">
        <v>16</v>
      </c>
      <c r="K37" s="140" t="s">
        <v>480</v>
      </c>
      <c r="L37" s="140" t="s">
        <v>658</v>
      </c>
      <c r="M37" s="140" t="s">
        <v>412</v>
      </c>
      <c r="N37" s="140" t="s">
        <v>659</v>
      </c>
    </row>
    <row r="38" spans="1:14" ht="18.75" customHeight="1" x14ac:dyDescent="0.25">
      <c r="A38" s="139">
        <v>8</v>
      </c>
      <c r="B38" s="140" t="s">
        <v>191</v>
      </c>
      <c r="C38" s="140" t="s">
        <v>189</v>
      </c>
      <c r="D38" s="140" t="s">
        <v>129</v>
      </c>
      <c r="E38" s="141" t="s">
        <v>121</v>
      </c>
      <c r="F38" s="140"/>
      <c r="G38" s="140" t="s">
        <v>391</v>
      </c>
      <c r="H38" s="140" t="s">
        <v>392</v>
      </c>
      <c r="I38" s="140" t="s">
        <v>393</v>
      </c>
      <c r="J38" s="217">
        <v>10</v>
      </c>
      <c r="K38" s="140" t="s">
        <v>480</v>
      </c>
      <c r="L38" s="140" t="s">
        <v>658</v>
      </c>
      <c r="M38" s="140" t="s">
        <v>412</v>
      </c>
      <c r="N38" s="140" t="s">
        <v>659</v>
      </c>
    </row>
    <row r="39" spans="1:14" ht="18.75" customHeight="1" x14ac:dyDescent="0.25">
      <c r="A39" s="139">
        <v>9</v>
      </c>
      <c r="B39" s="140" t="s">
        <v>191</v>
      </c>
      <c r="C39" s="140" t="s">
        <v>189</v>
      </c>
      <c r="D39" s="140" t="s">
        <v>129</v>
      </c>
      <c r="E39" s="141" t="s">
        <v>121</v>
      </c>
      <c r="F39" s="140"/>
      <c r="G39" s="140" t="s">
        <v>395</v>
      </c>
      <c r="H39" s="140" t="s">
        <v>396</v>
      </c>
      <c r="I39" s="140" t="s">
        <v>360</v>
      </c>
      <c r="J39" s="217">
        <v>14</v>
      </c>
      <c r="K39" s="140" t="s">
        <v>36</v>
      </c>
      <c r="L39" s="140" t="s">
        <v>662</v>
      </c>
      <c r="M39" s="140" t="s">
        <v>121</v>
      </c>
      <c r="N39" s="140" t="s">
        <v>657</v>
      </c>
    </row>
    <row r="40" spans="1:14" ht="18.75" customHeight="1" x14ac:dyDescent="0.25">
      <c r="A40" s="139">
        <v>10</v>
      </c>
      <c r="B40" s="140" t="s">
        <v>191</v>
      </c>
      <c r="C40" s="140" t="s">
        <v>189</v>
      </c>
      <c r="D40" s="140" t="s">
        <v>129</v>
      </c>
      <c r="E40" s="141" t="s">
        <v>121</v>
      </c>
      <c r="F40" s="140"/>
      <c r="G40" s="140" t="s">
        <v>399</v>
      </c>
      <c r="H40" s="140" t="s">
        <v>400</v>
      </c>
      <c r="I40" s="140" t="s">
        <v>372</v>
      </c>
      <c r="J40" s="217">
        <v>5</v>
      </c>
      <c r="K40" s="140" t="s">
        <v>480</v>
      </c>
      <c r="L40" s="140" t="s">
        <v>658</v>
      </c>
      <c r="M40" s="140" t="s">
        <v>412</v>
      </c>
      <c r="N40" s="140" t="s">
        <v>659</v>
      </c>
    </row>
    <row r="41" spans="1:14" ht="18.75" customHeight="1" x14ac:dyDescent="0.25">
      <c r="A41" s="139">
        <v>11</v>
      </c>
      <c r="B41" s="140" t="s">
        <v>191</v>
      </c>
      <c r="C41" s="140" t="s">
        <v>189</v>
      </c>
      <c r="D41" s="140" t="s">
        <v>129</v>
      </c>
      <c r="E41" s="141" t="s">
        <v>121</v>
      </c>
      <c r="F41" s="140"/>
      <c r="G41" s="140" t="s">
        <v>402</v>
      </c>
      <c r="H41" s="140" t="s">
        <v>403</v>
      </c>
      <c r="I41" s="140" t="s">
        <v>404</v>
      </c>
      <c r="J41" s="217">
        <v>9</v>
      </c>
      <c r="K41" s="140" t="s">
        <v>36</v>
      </c>
      <c r="L41" s="140" t="s">
        <v>663</v>
      </c>
      <c r="M41" s="140" t="s">
        <v>121</v>
      </c>
      <c r="N41" s="140" t="s">
        <v>657</v>
      </c>
    </row>
    <row r="42" spans="1:14" ht="18.75" customHeight="1" x14ac:dyDescent="0.25">
      <c r="A42" s="139">
        <v>12</v>
      </c>
      <c r="B42" s="140" t="s">
        <v>191</v>
      </c>
      <c r="C42" s="140" t="s">
        <v>189</v>
      </c>
      <c r="D42" s="140" t="s">
        <v>129</v>
      </c>
      <c r="E42" s="141" t="s">
        <v>121</v>
      </c>
      <c r="F42" s="140"/>
      <c r="G42" s="140" t="s">
        <v>406</v>
      </c>
      <c r="H42" s="140" t="s">
        <v>407</v>
      </c>
      <c r="I42" s="140" t="s">
        <v>367</v>
      </c>
      <c r="J42" s="217">
        <v>13</v>
      </c>
      <c r="K42" s="140" t="s">
        <v>480</v>
      </c>
      <c r="L42" s="140" t="s">
        <v>658</v>
      </c>
      <c r="M42" s="140" t="s">
        <v>412</v>
      </c>
      <c r="N42" s="140" t="s">
        <v>659</v>
      </c>
    </row>
    <row r="43" spans="1:14" ht="18.75" customHeight="1" x14ac:dyDescent="0.25">
      <c r="A43" s="139">
        <v>13</v>
      </c>
      <c r="B43" s="140" t="s">
        <v>191</v>
      </c>
      <c r="C43" s="140" t="s">
        <v>189</v>
      </c>
      <c r="D43" s="140" t="s">
        <v>129</v>
      </c>
      <c r="E43" s="141" t="s">
        <v>121</v>
      </c>
      <c r="F43" s="140"/>
      <c r="G43" s="140" t="s">
        <v>409</v>
      </c>
      <c r="H43" s="140" t="s">
        <v>410</v>
      </c>
      <c r="I43" s="140" t="s">
        <v>360</v>
      </c>
      <c r="J43" s="217">
        <v>6</v>
      </c>
      <c r="K43" s="140" t="s">
        <v>36</v>
      </c>
      <c r="L43" s="140" t="s">
        <v>664</v>
      </c>
      <c r="M43" s="140" t="s">
        <v>121</v>
      </c>
      <c r="N43" s="140" t="s">
        <v>657</v>
      </c>
    </row>
    <row r="44" spans="1:14" ht="18.75" customHeight="1" x14ac:dyDescent="0.25">
      <c r="A44" s="139">
        <v>14</v>
      </c>
      <c r="B44" s="140" t="s">
        <v>191</v>
      </c>
      <c r="C44" s="140" t="s">
        <v>189</v>
      </c>
      <c r="D44" s="140" t="s">
        <v>129</v>
      </c>
      <c r="E44" s="141" t="s">
        <v>121</v>
      </c>
      <c r="F44" s="140"/>
      <c r="G44" s="140" t="s">
        <v>415</v>
      </c>
      <c r="H44" s="140" t="s">
        <v>416</v>
      </c>
      <c r="I44" s="140" t="s">
        <v>385</v>
      </c>
      <c r="J44" s="217">
        <v>6</v>
      </c>
      <c r="K44" s="140" t="s">
        <v>36</v>
      </c>
      <c r="L44" s="140" t="s">
        <v>665</v>
      </c>
      <c r="M44" s="140" t="s">
        <v>121</v>
      </c>
      <c r="N44" s="140" t="s">
        <v>657</v>
      </c>
    </row>
    <row r="45" spans="1:14" ht="18.75" customHeight="1" x14ac:dyDescent="0.25">
      <c r="A45" s="139">
        <v>15</v>
      </c>
      <c r="B45" s="140" t="s">
        <v>191</v>
      </c>
      <c r="C45" s="140" t="s">
        <v>189</v>
      </c>
      <c r="D45" s="140" t="s">
        <v>129</v>
      </c>
      <c r="E45" s="141" t="s">
        <v>121</v>
      </c>
      <c r="F45" s="140"/>
      <c r="G45" s="140" t="s">
        <v>418</v>
      </c>
      <c r="H45" s="140" t="s">
        <v>419</v>
      </c>
      <c r="I45" s="140" t="s">
        <v>421</v>
      </c>
      <c r="J45" s="217">
        <v>14</v>
      </c>
      <c r="K45" s="140" t="s">
        <v>480</v>
      </c>
      <c r="L45" s="140" t="s">
        <v>658</v>
      </c>
      <c r="M45" s="140" t="s">
        <v>412</v>
      </c>
      <c r="N45" s="140" t="s">
        <v>659</v>
      </c>
    </row>
    <row r="46" spans="1:14" ht="18.75" customHeight="1" x14ac:dyDescent="0.25">
      <c r="A46" s="139">
        <v>16</v>
      </c>
      <c r="B46" s="140" t="s">
        <v>191</v>
      </c>
      <c r="C46" s="140" t="s">
        <v>189</v>
      </c>
      <c r="D46" s="140" t="s">
        <v>129</v>
      </c>
      <c r="E46" s="141" t="s">
        <v>121</v>
      </c>
      <c r="F46" s="140"/>
      <c r="G46" s="140" t="s">
        <v>423</v>
      </c>
      <c r="H46" s="140" t="s">
        <v>424</v>
      </c>
      <c r="I46" s="140" t="s">
        <v>425</v>
      </c>
      <c r="J46" s="217">
        <v>9</v>
      </c>
      <c r="K46" s="140" t="s">
        <v>36</v>
      </c>
      <c r="L46" s="140" t="s">
        <v>666</v>
      </c>
      <c r="M46" s="140" t="s">
        <v>121</v>
      </c>
      <c r="N46" s="140" t="s">
        <v>657</v>
      </c>
    </row>
    <row r="47" spans="1:14" ht="18.75" customHeight="1" x14ac:dyDescent="0.25">
      <c r="A47" s="139">
        <v>17</v>
      </c>
      <c r="B47" s="140" t="s">
        <v>191</v>
      </c>
      <c r="C47" s="140" t="s">
        <v>189</v>
      </c>
      <c r="D47" s="140" t="s">
        <v>129</v>
      </c>
      <c r="E47" s="141" t="s">
        <v>121</v>
      </c>
      <c r="F47" s="140"/>
      <c r="G47" s="140" t="s">
        <v>427</v>
      </c>
      <c r="H47" s="140" t="s">
        <v>428</v>
      </c>
      <c r="I47" s="140" t="s">
        <v>429</v>
      </c>
      <c r="J47" s="217">
        <v>20</v>
      </c>
      <c r="K47" s="140" t="s">
        <v>480</v>
      </c>
      <c r="L47" s="140" t="s">
        <v>658</v>
      </c>
      <c r="M47" s="140" t="s">
        <v>412</v>
      </c>
      <c r="N47" s="140" t="s">
        <v>659</v>
      </c>
    </row>
    <row r="48" spans="1:14" ht="18.75" customHeight="1" x14ac:dyDescent="0.25">
      <c r="A48" s="139">
        <v>18</v>
      </c>
      <c r="B48" s="140" t="s">
        <v>191</v>
      </c>
      <c r="C48" s="140" t="s">
        <v>189</v>
      </c>
      <c r="D48" s="140" t="s">
        <v>129</v>
      </c>
      <c r="E48" s="141" t="s">
        <v>121</v>
      </c>
      <c r="F48" s="140"/>
      <c r="G48" s="140" t="s">
        <v>431</v>
      </c>
      <c r="H48" s="140" t="s">
        <v>432</v>
      </c>
      <c r="I48" s="140" t="s">
        <v>360</v>
      </c>
      <c r="J48" s="217">
        <v>8</v>
      </c>
      <c r="K48" s="140" t="s">
        <v>36</v>
      </c>
      <c r="L48" s="140" t="s">
        <v>667</v>
      </c>
      <c r="M48" s="140" t="s">
        <v>121</v>
      </c>
      <c r="N48" s="140" t="s">
        <v>657</v>
      </c>
    </row>
    <row r="49" spans="1:14" ht="18.75" customHeight="1" x14ac:dyDescent="0.25">
      <c r="A49" s="139">
        <v>19</v>
      </c>
      <c r="B49" s="140" t="s">
        <v>191</v>
      </c>
      <c r="C49" s="140" t="s">
        <v>189</v>
      </c>
      <c r="D49" s="140" t="s">
        <v>129</v>
      </c>
      <c r="E49" s="141" t="s">
        <v>121</v>
      </c>
      <c r="F49" s="140"/>
      <c r="G49" s="140" t="s">
        <v>434</v>
      </c>
      <c r="H49" s="140" t="s">
        <v>435</v>
      </c>
      <c r="I49" s="140" t="s">
        <v>436</v>
      </c>
      <c r="J49" s="217">
        <v>5</v>
      </c>
      <c r="K49" s="140" t="s">
        <v>480</v>
      </c>
      <c r="L49" s="140" t="s">
        <v>658</v>
      </c>
      <c r="M49" s="140" t="s">
        <v>412</v>
      </c>
      <c r="N49" s="140" t="s">
        <v>659</v>
      </c>
    </row>
    <row r="50" spans="1:14" ht="18.75" customHeight="1" x14ac:dyDescent="0.25">
      <c r="A50" s="139">
        <v>20</v>
      </c>
      <c r="B50" s="140" t="s">
        <v>191</v>
      </c>
      <c r="C50" s="140" t="s">
        <v>189</v>
      </c>
      <c r="D50" s="140" t="s">
        <v>129</v>
      </c>
      <c r="E50" s="141" t="s">
        <v>121</v>
      </c>
      <c r="F50" s="140"/>
      <c r="G50" s="140" t="s">
        <v>438</v>
      </c>
      <c r="H50" s="140" t="s">
        <v>439</v>
      </c>
      <c r="I50" s="140" t="s">
        <v>440</v>
      </c>
      <c r="J50" s="217">
        <v>14</v>
      </c>
      <c r="K50" s="140" t="s">
        <v>36</v>
      </c>
      <c r="L50" s="140" t="s">
        <v>668</v>
      </c>
      <c r="M50" s="140" t="s">
        <v>121</v>
      </c>
      <c r="N50" s="140" t="s">
        <v>657</v>
      </c>
    </row>
    <row r="51" spans="1:14" ht="18.75" customHeight="1" x14ac:dyDescent="0.25">
      <c r="A51" s="139">
        <v>21</v>
      </c>
      <c r="B51" s="140" t="s">
        <v>191</v>
      </c>
      <c r="C51" s="140" t="s">
        <v>189</v>
      </c>
      <c r="D51" s="140" t="s">
        <v>129</v>
      </c>
      <c r="E51" s="141" t="s">
        <v>121</v>
      </c>
      <c r="F51" s="140"/>
      <c r="G51" s="140" t="s">
        <v>442</v>
      </c>
      <c r="H51" s="140" t="s">
        <v>443</v>
      </c>
      <c r="I51" s="140" t="s">
        <v>381</v>
      </c>
      <c r="J51" s="217">
        <v>20</v>
      </c>
      <c r="K51" s="140" t="s">
        <v>480</v>
      </c>
      <c r="L51" s="140" t="s">
        <v>658</v>
      </c>
      <c r="M51" s="140" t="s">
        <v>412</v>
      </c>
      <c r="N51" s="140" t="s">
        <v>659</v>
      </c>
    </row>
    <row r="52" spans="1:14" ht="18.75" customHeight="1" x14ac:dyDescent="0.25">
      <c r="A52" s="139">
        <v>22</v>
      </c>
      <c r="B52" s="140" t="s">
        <v>191</v>
      </c>
      <c r="C52" s="140" t="s">
        <v>189</v>
      </c>
      <c r="D52" s="140" t="s">
        <v>129</v>
      </c>
      <c r="E52" s="141" t="s">
        <v>121</v>
      </c>
      <c r="F52" s="140"/>
      <c r="G52" s="140" t="s">
        <v>445</v>
      </c>
      <c r="H52" s="140" t="s">
        <v>446</v>
      </c>
      <c r="I52" s="140" t="s">
        <v>372</v>
      </c>
      <c r="J52" s="217">
        <v>20</v>
      </c>
      <c r="K52" s="140" t="s">
        <v>36</v>
      </c>
      <c r="L52" s="140" t="s">
        <v>669</v>
      </c>
      <c r="M52" s="140" t="s">
        <v>121</v>
      </c>
      <c r="N52" s="140" t="s">
        <v>657</v>
      </c>
    </row>
    <row r="53" spans="1:14" ht="18.75" customHeight="1" x14ac:dyDescent="0.25">
      <c r="A53" s="139">
        <v>23</v>
      </c>
      <c r="B53" s="140" t="s">
        <v>191</v>
      </c>
      <c r="C53" s="140" t="s">
        <v>189</v>
      </c>
      <c r="D53" s="140" t="s">
        <v>129</v>
      </c>
      <c r="E53" s="141" t="s">
        <v>121</v>
      </c>
      <c r="F53" s="140"/>
      <c r="G53" s="140" t="s">
        <v>449</v>
      </c>
      <c r="H53" s="140" t="s">
        <v>450</v>
      </c>
      <c r="I53" s="140" t="s">
        <v>451</v>
      </c>
      <c r="J53" s="217">
        <v>19</v>
      </c>
      <c r="K53" s="140" t="s">
        <v>36</v>
      </c>
      <c r="L53" s="140" t="s">
        <v>670</v>
      </c>
      <c r="M53" s="140" t="s">
        <v>121</v>
      </c>
      <c r="N53" s="140" t="s">
        <v>657</v>
      </c>
    </row>
    <row r="54" spans="1:14" ht="18.75" customHeight="1" x14ac:dyDescent="0.25">
      <c r="A54" s="139">
        <v>24</v>
      </c>
      <c r="B54" s="140" t="s">
        <v>191</v>
      </c>
      <c r="C54" s="140" t="s">
        <v>189</v>
      </c>
      <c r="D54" s="140" t="s">
        <v>129</v>
      </c>
      <c r="E54" s="141" t="s">
        <v>121</v>
      </c>
      <c r="F54" s="140"/>
      <c r="G54" s="140" t="s">
        <v>453</v>
      </c>
      <c r="H54" s="140" t="s">
        <v>454</v>
      </c>
      <c r="I54" s="140" t="s">
        <v>455</v>
      </c>
      <c r="J54" s="217">
        <v>15</v>
      </c>
      <c r="K54" s="140" t="s">
        <v>480</v>
      </c>
      <c r="L54" s="140" t="s">
        <v>658</v>
      </c>
      <c r="M54" s="140" t="s">
        <v>412</v>
      </c>
      <c r="N54" s="140" t="s">
        <v>659</v>
      </c>
    </row>
    <row r="55" spans="1:14" ht="18.75" customHeight="1" x14ac:dyDescent="0.25">
      <c r="A55" s="139">
        <v>25</v>
      </c>
      <c r="B55" s="140" t="s">
        <v>191</v>
      </c>
      <c r="C55" s="140" t="s">
        <v>189</v>
      </c>
      <c r="D55" s="140" t="s">
        <v>129</v>
      </c>
      <c r="E55" s="141" t="s">
        <v>121</v>
      </c>
      <c r="F55" s="140"/>
      <c r="G55" s="140" t="s">
        <v>457</v>
      </c>
      <c r="H55" s="140" t="s">
        <v>458</v>
      </c>
      <c r="I55" s="140" t="s">
        <v>459</v>
      </c>
      <c r="J55" s="217">
        <v>10</v>
      </c>
      <c r="K55" s="140" t="s">
        <v>36</v>
      </c>
      <c r="L55" s="140" t="s">
        <v>671</v>
      </c>
      <c r="M55" s="140" t="s">
        <v>121</v>
      </c>
      <c r="N55" s="140" t="s">
        <v>657</v>
      </c>
    </row>
    <row r="56" spans="1:14" ht="18.75" customHeight="1" x14ac:dyDescent="0.25">
      <c r="A56" s="139" t="s">
        <v>736</v>
      </c>
      <c r="B56" s="140" t="s">
        <v>191</v>
      </c>
      <c r="C56" s="140" t="s">
        <v>189</v>
      </c>
      <c r="D56" s="140" t="s">
        <v>129</v>
      </c>
      <c r="E56" s="141" t="s">
        <v>121</v>
      </c>
      <c r="F56" s="140"/>
      <c r="G56" s="140" t="s">
        <v>674</v>
      </c>
      <c r="H56" s="140" t="s">
        <v>458</v>
      </c>
      <c r="I56" s="140" t="s">
        <v>377</v>
      </c>
      <c r="J56" s="217">
        <v>6</v>
      </c>
      <c r="K56" s="140"/>
      <c r="L56" s="140"/>
      <c r="M56" s="140"/>
      <c r="N56" s="140"/>
    </row>
    <row r="57" spans="1:14" ht="4.5" customHeight="1" x14ac:dyDescent="0.25">
      <c r="A57" s="105">
        <v>1</v>
      </c>
      <c r="B57" s="105" t="s">
        <v>192</v>
      </c>
      <c r="C57" s="105" t="s">
        <v>189</v>
      </c>
      <c r="D57" s="105" t="s">
        <v>193</v>
      </c>
      <c r="E57" s="105" t="s">
        <v>121</v>
      </c>
      <c r="F57" s="105"/>
      <c r="G57" s="105" t="s">
        <v>353</v>
      </c>
      <c r="H57" s="105" t="s">
        <v>354</v>
      </c>
      <c r="I57" s="105" t="s">
        <v>360</v>
      </c>
      <c r="J57" s="201">
        <v>13</v>
      </c>
      <c r="K57" s="105" t="s">
        <v>36</v>
      </c>
      <c r="L57" s="105" t="s">
        <v>656</v>
      </c>
      <c r="M57" s="105" t="s">
        <v>121</v>
      </c>
      <c r="N57" s="105" t="s">
        <v>657</v>
      </c>
    </row>
    <row r="58" spans="1:14" ht="19.5" customHeight="1" x14ac:dyDescent="0.25">
      <c r="A58" s="276" t="s">
        <v>736</v>
      </c>
      <c r="B58" s="260"/>
      <c r="C58" s="260"/>
      <c r="D58" s="260"/>
      <c r="E58" s="260"/>
      <c r="F58" s="260"/>
      <c r="G58" s="260"/>
      <c r="H58" s="260"/>
      <c r="I58" s="260"/>
      <c r="J58" s="260"/>
      <c r="K58" s="260"/>
      <c r="L58" s="260"/>
      <c r="M58" s="260"/>
      <c r="N58" s="261"/>
    </row>
    <row r="59" spans="1:14" ht="18.75" customHeight="1" x14ac:dyDescent="0.25">
      <c r="A59" s="34">
        <v>3</v>
      </c>
      <c r="B59" s="35" t="s">
        <v>192</v>
      </c>
      <c r="C59" s="35" t="s">
        <v>189</v>
      </c>
      <c r="D59" s="35" t="s">
        <v>193</v>
      </c>
      <c r="E59" s="109" t="s">
        <v>121</v>
      </c>
      <c r="F59" s="35"/>
      <c r="G59" s="35" t="s">
        <v>369</v>
      </c>
      <c r="H59" s="35" t="s">
        <v>370</v>
      </c>
      <c r="I59" s="35" t="s">
        <v>372</v>
      </c>
      <c r="J59" s="198">
        <v>20</v>
      </c>
      <c r="K59" s="35" t="s">
        <v>480</v>
      </c>
      <c r="L59" s="35" t="s">
        <v>658</v>
      </c>
      <c r="M59" s="35" t="s">
        <v>412</v>
      </c>
      <c r="N59" s="35" t="s">
        <v>659</v>
      </c>
    </row>
    <row r="60" spans="1:14" ht="18.75" customHeight="1" x14ac:dyDescent="0.25">
      <c r="A60" s="136">
        <v>4</v>
      </c>
      <c r="B60" s="137" t="s">
        <v>192</v>
      </c>
      <c r="C60" s="137" t="s">
        <v>189</v>
      </c>
      <c r="D60" s="137" t="s">
        <v>193</v>
      </c>
      <c r="E60" s="142" t="s">
        <v>121</v>
      </c>
      <c r="F60" s="137"/>
      <c r="G60" s="137" t="s">
        <v>374</v>
      </c>
      <c r="H60" s="137" t="s">
        <v>375</v>
      </c>
      <c r="I60" s="137" t="s">
        <v>377</v>
      </c>
      <c r="J60" s="216">
        <v>8</v>
      </c>
      <c r="K60" s="137" t="s">
        <v>36</v>
      </c>
      <c r="L60" s="137" t="s">
        <v>660</v>
      </c>
      <c r="M60" s="137" t="s">
        <v>121</v>
      </c>
      <c r="N60" s="137" t="s">
        <v>657</v>
      </c>
    </row>
    <row r="61" spans="1:14" ht="18.75" customHeight="1" x14ac:dyDescent="0.25">
      <c r="A61" s="136">
        <v>5</v>
      </c>
      <c r="B61" s="137" t="s">
        <v>192</v>
      </c>
      <c r="C61" s="137" t="s">
        <v>189</v>
      </c>
      <c r="D61" s="137" t="s">
        <v>193</v>
      </c>
      <c r="E61" s="142" t="s">
        <v>121</v>
      </c>
      <c r="F61" s="137"/>
      <c r="G61" s="137" t="s">
        <v>379</v>
      </c>
      <c r="H61" s="137" t="s">
        <v>380</v>
      </c>
      <c r="I61" s="137" t="s">
        <v>381</v>
      </c>
      <c r="J61" s="216">
        <v>7</v>
      </c>
      <c r="K61" s="137" t="s">
        <v>480</v>
      </c>
      <c r="L61" s="137" t="s">
        <v>658</v>
      </c>
      <c r="M61" s="137" t="s">
        <v>412</v>
      </c>
      <c r="N61" s="137" t="s">
        <v>659</v>
      </c>
    </row>
    <row r="62" spans="1:14" ht="18.75" customHeight="1" x14ac:dyDescent="0.25">
      <c r="A62" s="136">
        <v>6</v>
      </c>
      <c r="B62" s="137" t="s">
        <v>192</v>
      </c>
      <c r="C62" s="137" t="s">
        <v>189</v>
      </c>
      <c r="D62" s="137" t="s">
        <v>193</v>
      </c>
      <c r="E62" s="142" t="s">
        <v>121</v>
      </c>
      <c r="F62" s="137"/>
      <c r="G62" s="137" t="s">
        <v>383</v>
      </c>
      <c r="H62" s="137" t="s">
        <v>384</v>
      </c>
      <c r="I62" s="137" t="s">
        <v>385</v>
      </c>
      <c r="J62" s="216">
        <v>17</v>
      </c>
      <c r="K62" s="137" t="s">
        <v>36</v>
      </c>
      <c r="L62" s="137" t="s">
        <v>661</v>
      </c>
      <c r="M62" s="137" t="s">
        <v>121</v>
      </c>
      <c r="N62" s="137" t="s">
        <v>657</v>
      </c>
    </row>
    <row r="63" spans="1:14" ht="18.75" customHeight="1" x14ac:dyDescent="0.25">
      <c r="A63" s="136">
        <v>7</v>
      </c>
      <c r="B63" s="137" t="s">
        <v>192</v>
      </c>
      <c r="C63" s="137" t="s">
        <v>189</v>
      </c>
      <c r="D63" s="137" t="s">
        <v>193</v>
      </c>
      <c r="E63" s="142" t="s">
        <v>121</v>
      </c>
      <c r="F63" s="137"/>
      <c r="G63" s="137" t="s">
        <v>387</v>
      </c>
      <c r="H63" s="137" t="s">
        <v>388</v>
      </c>
      <c r="I63" s="137" t="s">
        <v>389</v>
      </c>
      <c r="J63" s="216">
        <v>20</v>
      </c>
      <c r="K63" s="137" t="s">
        <v>480</v>
      </c>
      <c r="L63" s="137" t="s">
        <v>658</v>
      </c>
      <c r="M63" s="137" t="s">
        <v>412</v>
      </c>
      <c r="N63" s="137" t="s">
        <v>659</v>
      </c>
    </row>
    <row r="64" spans="1:14" ht="18.75" customHeight="1" x14ac:dyDescent="0.25">
      <c r="A64" s="136">
        <v>8</v>
      </c>
      <c r="B64" s="137" t="s">
        <v>192</v>
      </c>
      <c r="C64" s="137" t="s">
        <v>189</v>
      </c>
      <c r="D64" s="137" t="s">
        <v>193</v>
      </c>
      <c r="E64" s="142" t="s">
        <v>121</v>
      </c>
      <c r="F64" s="137"/>
      <c r="G64" s="137" t="s">
        <v>391</v>
      </c>
      <c r="H64" s="137" t="s">
        <v>392</v>
      </c>
      <c r="I64" s="137" t="s">
        <v>393</v>
      </c>
      <c r="J64" s="216">
        <v>7</v>
      </c>
      <c r="K64" s="137" t="s">
        <v>480</v>
      </c>
      <c r="L64" s="137" t="s">
        <v>658</v>
      </c>
      <c r="M64" s="137" t="s">
        <v>412</v>
      </c>
      <c r="N64" s="137" t="s">
        <v>659</v>
      </c>
    </row>
    <row r="65" spans="1:14" ht="18.75" customHeight="1" x14ac:dyDescent="0.25">
      <c r="A65" s="136">
        <v>9</v>
      </c>
      <c r="B65" s="137" t="s">
        <v>192</v>
      </c>
      <c r="C65" s="137" t="s">
        <v>189</v>
      </c>
      <c r="D65" s="137" t="s">
        <v>193</v>
      </c>
      <c r="E65" s="142" t="s">
        <v>121</v>
      </c>
      <c r="F65" s="137"/>
      <c r="G65" s="137" t="s">
        <v>395</v>
      </c>
      <c r="H65" s="137" t="s">
        <v>396</v>
      </c>
      <c r="I65" s="137" t="s">
        <v>360</v>
      </c>
      <c r="J65" s="216">
        <v>6</v>
      </c>
      <c r="K65" s="137" t="s">
        <v>36</v>
      </c>
      <c r="L65" s="137" t="s">
        <v>662</v>
      </c>
      <c r="M65" s="137" t="s">
        <v>121</v>
      </c>
      <c r="N65" s="137" t="s">
        <v>657</v>
      </c>
    </row>
    <row r="66" spans="1:14" ht="18.75" customHeight="1" x14ac:dyDescent="0.25">
      <c r="A66" s="136">
        <v>10</v>
      </c>
      <c r="B66" s="137" t="s">
        <v>192</v>
      </c>
      <c r="C66" s="137" t="s">
        <v>189</v>
      </c>
      <c r="D66" s="137" t="s">
        <v>193</v>
      </c>
      <c r="E66" s="142" t="s">
        <v>121</v>
      </c>
      <c r="F66" s="137"/>
      <c r="G66" s="137" t="s">
        <v>399</v>
      </c>
      <c r="H66" s="137" t="s">
        <v>400</v>
      </c>
      <c r="I66" s="137" t="s">
        <v>372</v>
      </c>
      <c r="J66" s="216">
        <v>9</v>
      </c>
      <c r="K66" s="137" t="s">
        <v>480</v>
      </c>
      <c r="L66" s="137" t="s">
        <v>658</v>
      </c>
      <c r="M66" s="137" t="s">
        <v>412</v>
      </c>
      <c r="N66" s="137" t="s">
        <v>659</v>
      </c>
    </row>
    <row r="67" spans="1:14" ht="18.75" customHeight="1" x14ac:dyDescent="0.25">
      <c r="A67" s="136">
        <v>11</v>
      </c>
      <c r="B67" s="137" t="s">
        <v>192</v>
      </c>
      <c r="C67" s="137" t="s">
        <v>189</v>
      </c>
      <c r="D67" s="137" t="s">
        <v>193</v>
      </c>
      <c r="E67" s="142" t="s">
        <v>121</v>
      </c>
      <c r="F67" s="137"/>
      <c r="G67" s="137" t="s">
        <v>402</v>
      </c>
      <c r="H67" s="137" t="s">
        <v>403</v>
      </c>
      <c r="I67" s="137" t="s">
        <v>404</v>
      </c>
      <c r="J67" s="216">
        <v>9</v>
      </c>
      <c r="K67" s="137" t="s">
        <v>36</v>
      </c>
      <c r="L67" s="137" t="s">
        <v>663</v>
      </c>
      <c r="M67" s="137" t="s">
        <v>121</v>
      </c>
      <c r="N67" s="137" t="s">
        <v>657</v>
      </c>
    </row>
    <row r="68" spans="1:14" ht="18.75" customHeight="1" x14ac:dyDescent="0.25">
      <c r="A68" s="136">
        <v>12</v>
      </c>
      <c r="B68" s="137" t="s">
        <v>192</v>
      </c>
      <c r="C68" s="137" t="s">
        <v>189</v>
      </c>
      <c r="D68" s="137" t="s">
        <v>193</v>
      </c>
      <c r="E68" s="142" t="s">
        <v>121</v>
      </c>
      <c r="F68" s="137"/>
      <c r="G68" s="137" t="s">
        <v>406</v>
      </c>
      <c r="H68" s="137" t="s">
        <v>407</v>
      </c>
      <c r="I68" s="137" t="s">
        <v>367</v>
      </c>
      <c r="J68" s="216">
        <v>14</v>
      </c>
      <c r="K68" s="137" t="s">
        <v>480</v>
      </c>
      <c r="L68" s="137" t="s">
        <v>658</v>
      </c>
      <c r="M68" s="137" t="s">
        <v>412</v>
      </c>
      <c r="N68" s="137" t="s">
        <v>659</v>
      </c>
    </row>
    <row r="69" spans="1:14" ht="18.75" customHeight="1" x14ac:dyDescent="0.25">
      <c r="A69" s="136">
        <v>13</v>
      </c>
      <c r="B69" s="137" t="s">
        <v>192</v>
      </c>
      <c r="C69" s="137" t="s">
        <v>189</v>
      </c>
      <c r="D69" s="137" t="s">
        <v>193</v>
      </c>
      <c r="E69" s="142" t="s">
        <v>121</v>
      </c>
      <c r="F69" s="137"/>
      <c r="G69" s="137" t="s">
        <v>409</v>
      </c>
      <c r="H69" s="137" t="s">
        <v>410</v>
      </c>
      <c r="I69" s="137" t="s">
        <v>360</v>
      </c>
      <c r="J69" s="216">
        <v>7</v>
      </c>
      <c r="K69" s="137" t="s">
        <v>36</v>
      </c>
      <c r="L69" s="137" t="s">
        <v>664</v>
      </c>
      <c r="M69" s="137" t="s">
        <v>121</v>
      </c>
      <c r="N69" s="137" t="s">
        <v>657</v>
      </c>
    </row>
    <row r="70" spans="1:14" ht="18.75" customHeight="1" x14ac:dyDescent="0.25">
      <c r="A70" s="136">
        <v>14</v>
      </c>
      <c r="B70" s="137" t="s">
        <v>192</v>
      </c>
      <c r="C70" s="137" t="s">
        <v>189</v>
      </c>
      <c r="D70" s="137" t="s">
        <v>193</v>
      </c>
      <c r="E70" s="142" t="s">
        <v>121</v>
      </c>
      <c r="F70" s="137"/>
      <c r="G70" s="137" t="s">
        <v>415</v>
      </c>
      <c r="H70" s="137" t="s">
        <v>416</v>
      </c>
      <c r="I70" s="137" t="s">
        <v>385</v>
      </c>
      <c r="J70" s="216">
        <v>12</v>
      </c>
      <c r="K70" s="137" t="s">
        <v>36</v>
      </c>
      <c r="L70" s="137" t="s">
        <v>665</v>
      </c>
      <c r="M70" s="137" t="s">
        <v>121</v>
      </c>
      <c r="N70" s="137" t="s">
        <v>657</v>
      </c>
    </row>
    <row r="71" spans="1:14" ht="18.75" customHeight="1" x14ac:dyDescent="0.25">
      <c r="A71" s="136">
        <v>15</v>
      </c>
      <c r="B71" s="137" t="s">
        <v>192</v>
      </c>
      <c r="C71" s="137" t="s">
        <v>189</v>
      </c>
      <c r="D71" s="137" t="s">
        <v>193</v>
      </c>
      <c r="E71" s="142" t="s">
        <v>121</v>
      </c>
      <c r="F71" s="137"/>
      <c r="G71" s="137" t="s">
        <v>418</v>
      </c>
      <c r="H71" s="137" t="s">
        <v>419</v>
      </c>
      <c r="I71" s="137" t="s">
        <v>421</v>
      </c>
      <c r="J71" s="216">
        <v>8</v>
      </c>
      <c r="K71" s="137" t="s">
        <v>480</v>
      </c>
      <c r="L71" s="137" t="s">
        <v>658</v>
      </c>
      <c r="M71" s="137" t="s">
        <v>412</v>
      </c>
      <c r="N71" s="137" t="s">
        <v>659</v>
      </c>
    </row>
    <row r="72" spans="1:14" ht="18.75" customHeight="1" x14ac:dyDescent="0.25">
      <c r="A72" s="136">
        <v>16</v>
      </c>
      <c r="B72" s="137" t="s">
        <v>192</v>
      </c>
      <c r="C72" s="137" t="s">
        <v>189</v>
      </c>
      <c r="D72" s="137" t="s">
        <v>193</v>
      </c>
      <c r="E72" s="142" t="s">
        <v>121</v>
      </c>
      <c r="F72" s="137"/>
      <c r="G72" s="137" t="s">
        <v>423</v>
      </c>
      <c r="H72" s="137" t="s">
        <v>424</v>
      </c>
      <c r="I72" s="137" t="s">
        <v>425</v>
      </c>
      <c r="J72" s="216">
        <v>18</v>
      </c>
      <c r="K72" s="137" t="s">
        <v>36</v>
      </c>
      <c r="L72" s="137" t="s">
        <v>666</v>
      </c>
      <c r="M72" s="137" t="s">
        <v>121</v>
      </c>
      <c r="N72" s="137" t="s">
        <v>657</v>
      </c>
    </row>
    <row r="73" spans="1:14" ht="18.75" customHeight="1" x14ac:dyDescent="0.25">
      <c r="A73" s="136">
        <v>17</v>
      </c>
      <c r="B73" s="137" t="s">
        <v>192</v>
      </c>
      <c r="C73" s="137" t="s">
        <v>189</v>
      </c>
      <c r="D73" s="137" t="s">
        <v>193</v>
      </c>
      <c r="E73" s="142" t="s">
        <v>121</v>
      </c>
      <c r="F73" s="137"/>
      <c r="G73" s="137" t="s">
        <v>427</v>
      </c>
      <c r="H73" s="137" t="s">
        <v>428</v>
      </c>
      <c r="I73" s="137" t="s">
        <v>429</v>
      </c>
      <c r="J73" s="216">
        <v>12</v>
      </c>
      <c r="K73" s="137" t="s">
        <v>480</v>
      </c>
      <c r="L73" s="137" t="s">
        <v>658</v>
      </c>
      <c r="M73" s="137" t="s">
        <v>412</v>
      </c>
      <c r="N73" s="137" t="s">
        <v>659</v>
      </c>
    </row>
    <row r="74" spans="1:14" ht="18.75" customHeight="1" x14ac:dyDescent="0.25">
      <c r="A74" s="136">
        <v>18</v>
      </c>
      <c r="B74" s="137" t="s">
        <v>192</v>
      </c>
      <c r="C74" s="137" t="s">
        <v>189</v>
      </c>
      <c r="D74" s="137" t="s">
        <v>193</v>
      </c>
      <c r="E74" s="142" t="s">
        <v>121</v>
      </c>
      <c r="F74" s="137"/>
      <c r="G74" s="137" t="s">
        <v>431</v>
      </c>
      <c r="H74" s="137" t="s">
        <v>432</v>
      </c>
      <c r="I74" s="137" t="s">
        <v>360</v>
      </c>
      <c r="J74" s="216">
        <v>17</v>
      </c>
      <c r="K74" s="137" t="s">
        <v>36</v>
      </c>
      <c r="L74" s="137" t="s">
        <v>667</v>
      </c>
      <c r="M74" s="137" t="s">
        <v>121</v>
      </c>
      <c r="N74" s="137" t="s">
        <v>657</v>
      </c>
    </row>
    <row r="75" spans="1:14" ht="18.75" customHeight="1" x14ac:dyDescent="0.25">
      <c r="A75" s="136">
        <v>19</v>
      </c>
      <c r="B75" s="137" t="s">
        <v>192</v>
      </c>
      <c r="C75" s="137" t="s">
        <v>189</v>
      </c>
      <c r="D75" s="137" t="s">
        <v>193</v>
      </c>
      <c r="E75" s="142" t="s">
        <v>121</v>
      </c>
      <c r="F75" s="137"/>
      <c r="G75" s="137" t="s">
        <v>434</v>
      </c>
      <c r="H75" s="137" t="s">
        <v>435</v>
      </c>
      <c r="I75" s="137" t="s">
        <v>436</v>
      </c>
      <c r="J75" s="216">
        <v>19</v>
      </c>
      <c r="K75" s="137" t="s">
        <v>480</v>
      </c>
      <c r="L75" s="137" t="s">
        <v>658</v>
      </c>
      <c r="M75" s="137" t="s">
        <v>412</v>
      </c>
      <c r="N75" s="137" t="s">
        <v>659</v>
      </c>
    </row>
    <row r="76" spans="1:14" ht="18.75" customHeight="1" x14ac:dyDescent="0.25">
      <c r="A76" s="136">
        <v>20</v>
      </c>
      <c r="B76" s="137" t="s">
        <v>192</v>
      </c>
      <c r="C76" s="137" t="s">
        <v>189</v>
      </c>
      <c r="D76" s="137" t="s">
        <v>193</v>
      </c>
      <c r="E76" s="142" t="s">
        <v>121</v>
      </c>
      <c r="F76" s="137"/>
      <c r="G76" s="137" t="s">
        <v>438</v>
      </c>
      <c r="H76" s="137" t="s">
        <v>439</v>
      </c>
      <c r="I76" s="137" t="s">
        <v>440</v>
      </c>
      <c r="J76" s="216">
        <v>19</v>
      </c>
      <c r="K76" s="137" t="s">
        <v>36</v>
      </c>
      <c r="L76" s="137" t="s">
        <v>668</v>
      </c>
      <c r="M76" s="137" t="s">
        <v>121</v>
      </c>
      <c r="N76" s="137" t="s">
        <v>657</v>
      </c>
    </row>
    <row r="77" spans="1:14" ht="18.75" customHeight="1" x14ac:dyDescent="0.25">
      <c r="A77" s="136">
        <v>21</v>
      </c>
      <c r="B77" s="137" t="s">
        <v>192</v>
      </c>
      <c r="C77" s="137" t="s">
        <v>189</v>
      </c>
      <c r="D77" s="137" t="s">
        <v>193</v>
      </c>
      <c r="E77" s="142" t="s">
        <v>121</v>
      </c>
      <c r="F77" s="137"/>
      <c r="G77" s="137" t="s">
        <v>442</v>
      </c>
      <c r="H77" s="137" t="s">
        <v>443</v>
      </c>
      <c r="I77" s="137" t="s">
        <v>381</v>
      </c>
      <c r="J77" s="216">
        <v>14</v>
      </c>
      <c r="K77" s="137" t="s">
        <v>480</v>
      </c>
      <c r="L77" s="137" t="s">
        <v>658</v>
      </c>
      <c r="M77" s="137" t="s">
        <v>412</v>
      </c>
      <c r="N77" s="137" t="s">
        <v>659</v>
      </c>
    </row>
    <row r="78" spans="1:14" ht="18.75" customHeight="1" x14ac:dyDescent="0.25">
      <c r="A78" s="136">
        <v>22</v>
      </c>
      <c r="B78" s="137" t="s">
        <v>192</v>
      </c>
      <c r="C78" s="137" t="s">
        <v>189</v>
      </c>
      <c r="D78" s="137" t="s">
        <v>193</v>
      </c>
      <c r="E78" s="142" t="s">
        <v>121</v>
      </c>
      <c r="F78" s="137"/>
      <c r="G78" s="137" t="s">
        <v>445</v>
      </c>
      <c r="H78" s="137" t="s">
        <v>446</v>
      </c>
      <c r="I78" s="137" t="s">
        <v>372</v>
      </c>
      <c r="J78" s="216">
        <v>18</v>
      </c>
      <c r="K78" s="137" t="s">
        <v>36</v>
      </c>
      <c r="L78" s="137" t="s">
        <v>669</v>
      </c>
      <c r="M78" s="137" t="s">
        <v>121</v>
      </c>
      <c r="N78" s="137" t="s">
        <v>657</v>
      </c>
    </row>
    <row r="79" spans="1:14" ht="18.75" customHeight="1" x14ac:dyDescent="0.25">
      <c r="A79" s="136">
        <v>23</v>
      </c>
      <c r="B79" s="137" t="s">
        <v>192</v>
      </c>
      <c r="C79" s="137" t="s">
        <v>189</v>
      </c>
      <c r="D79" s="137" t="s">
        <v>193</v>
      </c>
      <c r="E79" s="142" t="s">
        <v>121</v>
      </c>
      <c r="F79" s="137"/>
      <c r="G79" s="137" t="s">
        <v>449</v>
      </c>
      <c r="H79" s="137" t="s">
        <v>450</v>
      </c>
      <c r="I79" s="137" t="s">
        <v>451</v>
      </c>
      <c r="J79" s="216">
        <v>14</v>
      </c>
      <c r="K79" s="137" t="s">
        <v>36</v>
      </c>
      <c r="L79" s="137" t="s">
        <v>670</v>
      </c>
      <c r="M79" s="137" t="s">
        <v>121</v>
      </c>
      <c r="N79" s="137" t="s">
        <v>657</v>
      </c>
    </row>
    <row r="80" spans="1:14" ht="18.75" customHeight="1" x14ac:dyDescent="0.25">
      <c r="A80" s="136">
        <v>24</v>
      </c>
      <c r="B80" s="137" t="s">
        <v>192</v>
      </c>
      <c r="C80" s="137" t="s">
        <v>189</v>
      </c>
      <c r="D80" s="137" t="s">
        <v>193</v>
      </c>
      <c r="E80" s="142" t="s">
        <v>121</v>
      </c>
      <c r="F80" s="137"/>
      <c r="G80" s="137" t="s">
        <v>453</v>
      </c>
      <c r="H80" s="137" t="s">
        <v>454</v>
      </c>
      <c r="I80" s="137" t="s">
        <v>455</v>
      </c>
      <c r="J80" s="216">
        <v>6</v>
      </c>
      <c r="K80" s="137" t="s">
        <v>480</v>
      </c>
      <c r="L80" s="137" t="s">
        <v>658</v>
      </c>
      <c r="M80" s="137" t="s">
        <v>412</v>
      </c>
      <c r="N80" s="137" t="s">
        <v>659</v>
      </c>
    </row>
    <row r="81" spans="1:14" ht="18.75" customHeight="1" x14ac:dyDescent="0.25">
      <c r="A81" s="136">
        <v>25</v>
      </c>
      <c r="B81" s="137" t="s">
        <v>192</v>
      </c>
      <c r="C81" s="137" t="s">
        <v>189</v>
      </c>
      <c r="D81" s="137" t="s">
        <v>193</v>
      </c>
      <c r="E81" s="142" t="s">
        <v>121</v>
      </c>
      <c r="F81" s="137"/>
      <c r="G81" s="137" t="s">
        <v>457</v>
      </c>
      <c r="H81" s="137" t="s">
        <v>458</v>
      </c>
      <c r="I81" s="137" t="s">
        <v>459</v>
      </c>
      <c r="J81" s="216">
        <v>8</v>
      </c>
      <c r="K81" s="137" t="s">
        <v>36</v>
      </c>
      <c r="L81" s="137" t="s">
        <v>671</v>
      </c>
      <c r="M81" s="137" t="s">
        <v>121</v>
      </c>
      <c r="N81" s="137" t="s">
        <v>657</v>
      </c>
    </row>
    <row r="82" spans="1:14" ht="18.75" customHeight="1" x14ac:dyDescent="0.25">
      <c r="A82" s="136" t="s">
        <v>737</v>
      </c>
      <c r="B82" s="137" t="s">
        <v>192</v>
      </c>
      <c r="C82" s="137" t="s">
        <v>189</v>
      </c>
      <c r="D82" s="137" t="s">
        <v>193</v>
      </c>
      <c r="E82" s="142" t="s">
        <v>121</v>
      </c>
      <c r="F82" s="137"/>
      <c r="G82" s="137" t="s">
        <v>676</v>
      </c>
      <c r="H82" s="137" t="s">
        <v>454</v>
      </c>
      <c r="I82" s="137" t="s">
        <v>646</v>
      </c>
      <c r="J82" s="216">
        <v>11</v>
      </c>
      <c r="K82" s="137"/>
      <c r="L82" s="137"/>
      <c r="M82" s="137"/>
      <c r="N82" s="137"/>
    </row>
    <row r="83" spans="1:14" ht="18.75" customHeight="1" x14ac:dyDescent="0.25">
      <c r="A83" s="136">
        <v>1</v>
      </c>
      <c r="B83" s="137" t="s">
        <v>194</v>
      </c>
      <c r="C83" s="137" t="s">
        <v>189</v>
      </c>
      <c r="D83" s="137" t="s">
        <v>105</v>
      </c>
      <c r="E83" s="142" t="s">
        <v>121</v>
      </c>
      <c r="F83" s="137"/>
      <c r="G83" s="137" t="s">
        <v>353</v>
      </c>
      <c r="H83" s="137" t="s">
        <v>354</v>
      </c>
      <c r="I83" s="137" t="s">
        <v>360</v>
      </c>
      <c r="J83" s="216">
        <v>11</v>
      </c>
      <c r="K83" s="137" t="s">
        <v>36</v>
      </c>
      <c r="L83" s="137" t="s">
        <v>656</v>
      </c>
      <c r="M83" s="137" t="s">
        <v>121</v>
      </c>
      <c r="N83" s="137" t="s">
        <v>657</v>
      </c>
    </row>
    <row r="84" spans="1:14" ht="4.5" customHeight="1" x14ac:dyDescent="0.25">
      <c r="A84" s="105">
        <v>2</v>
      </c>
      <c r="B84" s="105" t="s">
        <v>194</v>
      </c>
      <c r="C84" s="105" t="s">
        <v>189</v>
      </c>
      <c r="D84" s="105" t="s">
        <v>105</v>
      </c>
      <c r="E84" s="105" t="s">
        <v>121</v>
      </c>
      <c r="F84" s="105"/>
      <c r="G84" s="105" t="s">
        <v>363</v>
      </c>
      <c r="H84" s="105" t="s">
        <v>364</v>
      </c>
      <c r="I84" s="105" t="s">
        <v>367</v>
      </c>
      <c r="J84" s="201">
        <v>13</v>
      </c>
      <c r="K84" s="105" t="s">
        <v>480</v>
      </c>
      <c r="L84" s="105" t="s">
        <v>658</v>
      </c>
      <c r="M84" s="105" t="s">
        <v>412</v>
      </c>
      <c r="N84" s="105" t="s">
        <v>659</v>
      </c>
    </row>
    <row r="85" spans="1:14" ht="19.5" customHeight="1" x14ac:dyDescent="0.25">
      <c r="A85" s="276" t="s">
        <v>737</v>
      </c>
      <c r="B85" s="260"/>
      <c r="C85" s="260"/>
      <c r="D85" s="260"/>
      <c r="E85" s="260"/>
      <c r="F85" s="260"/>
      <c r="G85" s="260"/>
      <c r="H85" s="260"/>
      <c r="I85" s="260"/>
      <c r="J85" s="260"/>
      <c r="K85" s="260"/>
      <c r="L85" s="260"/>
      <c r="M85" s="260"/>
      <c r="N85" s="261"/>
    </row>
    <row r="86" spans="1:14" ht="18.75" customHeight="1" x14ac:dyDescent="0.25">
      <c r="A86" s="34">
        <v>4</v>
      </c>
      <c r="B86" s="35" t="s">
        <v>194</v>
      </c>
      <c r="C86" s="35" t="s">
        <v>189</v>
      </c>
      <c r="D86" s="35" t="s">
        <v>105</v>
      </c>
      <c r="E86" s="109" t="s">
        <v>121</v>
      </c>
      <c r="F86" s="35"/>
      <c r="G86" s="35" t="s">
        <v>374</v>
      </c>
      <c r="H86" s="35" t="s">
        <v>375</v>
      </c>
      <c r="I86" s="35" t="s">
        <v>377</v>
      </c>
      <c r="J86" s="198">
        <v>7</v>
      </c>
      <c r="K86" s="35" t="s">
        <v>36</v>
      </c>
      <c r="L86" s="35" t="s">
        <v>660</v>
      </c>
      <c r="M86" s="35" t="s">
        <v>121</v>
      </c>
      <c r="N86" s="35" t="s">
        <v>657</v>
      </c>
    </row>
    <row r="87" spans="1:14" ht="18.75" customHeight="1" x14ac:dyDescent="0.25">
      <c r="A87" s="139">
        <v>5</v>
      </c>
      <c r="B87" s="140" t="s">
        <v>194</v>
      </c>
      <c r="C87" s="140" t="s">
        <v>189</v>
      </c>
      <c r="D87" s="140" t="s">
        <v>105</v>
      </c>
      <c r="E87" s="141" t="s">
        <v>121</v>
      </c>
      <c r="F87" s="140"/>
      <c r="G87" s="140" t="s">
        <v>379</v>
      </c>
      <c r="H87" s="140" t="s">
        <v>380</v>
      </c>
      <c r="I87" s="140" t="s">
        <v>381</v>
      </c>
      <c r="J87" s="217">
        <v>10</v>
      </c>
      <c r="K87" s="140" t="s">
        <v>480</v>
      </c>
      <c r="L87" s="140" t="s">
        <v>658</v>
      </c>
      <c r="M87" s="140" t="s">
        <v>412</v>
      </c>
      <c r="N87" s="140" t="s">
        <v>659</v>
      </c>
    </row>
    <row r="88" spans="1:14" ht="18.75" customHeight="1" x14ac:dyDescent="0.25">
      <c r="A88" s="139">
        <v>6</v>
      </c>
      <c r="B88" s="140" t="s">
        <v>194</v>
      </c>
      <c r="C88" s="140" t="s">
        <v>189</v>
      </c>
      <c r="D88" s="140" t="s">
        <v>105</v>
      </c>
      <c r="E88" s="141" t="s">
        <v>121</v>
      </c>
      <c r="F88" s="140"/>
      <c r="G88" s="140" t="s">
        <v>383</v>
      </c>
      <c r="H88" s="140" t="s">
        <v>384</v>
      </c>
      <c r="I88" s="140" t="s">
        <v>385</v>
      </c>
      <c r="J88" s="217">
        <v>12</v>
      </c>
      <c r="K88" s="140" t="s">
        <v>36</v>
      </c>
      <c r="L88" s="140" t="s">
        <v>661</v>
      </c>
      <c r="M88" s="140" t="s">
        <v>121</v>
      </c>
      <c r="N88" s="140" t="s">
        <v>657</v>
      </c>
    </row>
    <row r="89" spans="1:14" ht="18.75" customHeight="1" x14ac:dyDescent="0.25">
      <c r="A89" s="139">
        <v>7</v>
      </c>
      <c r="B89" s="140" t="s">
        <v>194</v>
      </c>
      <c r="C89" s="140" t="s">
        <v>189</v>
      </c>
      <c r="D89" s="140" t="s">
        <v>105</v>
      </c>
      <c r="E89" s="141" t="s">
        <v>121</v>
      </c>
      <c r="F89" s="140"/>
      <c r="G89" s="140" t="s">
        <v>387</v>
      </c>
      <c r="H89" s="140" t="s">
        <v>388</v>
      </c>
      <c r="I89" s="140" t="s">
        <v>389</v>
      </c>
      <c r="J89" s="217">
        <v>10</v>
      </c>
      <c r="K89" s="140" t="s">
        <v>480</v>
      </c>
      <c r="L89" s="140" t="s">
        <v>658</v>
      </c>
      <c r="M89" s="140" t="s">
        <v>412</v>
      </c>
      <c r="N89" s="140" t="s">
        <v>659</v>
      </c>
    </row>
    <row r="90" spans="1:14" ht="18.75" customHeight="1" x14ac:dyDescent="0.25">
      <c r="A90" s="139">
        <v>8</v>
      </c>
      <c r="B90" s="140" t="s">
        <v>194</v>
      </c>
      <c r="C90" s="140" t="s">
        <v>189</v>
      </c>
      <c r="D90" s="140" t="s">
        <v>105</v>
      </c>
      <c r="E90" s="141" t="s">
        <v>121</v>
      </c>
      <c r="F90" s="140"/>
      <c r="G90" s="140" t="s">
        <v>391</v>
      </c>
      <c r="H90" s="140" t="s">
        <v>392</v>
      </c>
      <c r="I90" s="140" t="s">
        <v>393</v>
      </c>
      <c r="J90" s="217">
        <v>7</v>
      </c>
      <c r="K90" s="140" t="s">
        <v>480</v>
      </c>
      <c r="L90" s="140" t="s">
        <v>658</v>
      </c>
      <c r="M90" s="140" t="s">
        <v>412</v>
      </c>
      <c r="N90" s="140" t="s">
        <v>659</v>
      </c>
    </row>
    <row r="91" spans="1:14" ht="18.75" customHeight="1" x14ac:dyDescent="0.25">
      <c r="A91" s="139">
        <v>9</v>
      </c>
      <c r="B91" s="140" t="s">
        <v>194</v>
      </c>
      <c r="C91" s="140" t="s">
        <v>189</v>
      </c>
      <c r="D91" s="140" t="s">
        <v>105</v>
      </c>
      <c r="E91" s="141" t="s">
        <v>121</v>
      </c>
      <c r="F91" s="140"/>
      <c r="G91" s="140" t="s">
        <v>395</v>
      </c>
      <c r="H91" s="140" t="s">
        <v>396</v>
      </c>
      <c r="I91" s="140" t="s">
        <v>360</v>
      </c>
      <c r="J91" s="217">
        <v>10</v>
      </c>
      <c r="K91" s="140" t="s">
        <v>36</v>
      </c>
      <c r="L91" s="140" t="s">
        <v>662</v>
      </c>
      <c r="M91" s="140" t="s">
        <v>121</v>
      </c>
      <c r="N91" s="140" t="s">
        <v>657</v>
      </c>
    </row>
    <row r="92" spans="1:14" ht="18.75" customHeight="1" x14ac:dyDescent="0.25">
      <c r="A92" s="139">
        <v>10</v>
      </c>
      <c r="B92" s="140" t="s">
        <v>194</v>
      </c>
      <c r="C92" s="140" t="s">
        <v>189</v>
      </c>
      <c r="D92" s="140" t="s">
        <v>105</v>
      </c>
      <c r="E92" s="141" t="s">
        <v>121</v>
      </c>
      <c r="F92" s="140"/>
      <c r="G92" s="140" t="s">
        <v>399</v>
      </c>
      <c r="H92" s="140" t="s">
        <v>400</v>
      </c>
      <c r="I92" s="140" t="s">
        <v>372</v>
      </c>
      <c r="J92" s="217">
        <v>5</v>
      </c>
      <c r="K92" s="140" t="s">
        <v>480</v>
      </c>
      <c r="L92" s="140" t="s">
        <v>658</v>
      </c>
      <c r="M92" s="140" t="s">
        <v>412</v>
      </c>
      <c r="N92" s="140" t="s">
        <v>659</v>
      </c>
    </row>
    <row r="93" spans="1:14" ht="18.75" customHeight="1" x14ac:dyDescent="0.25">
      <c r="A93" s="139">
        <v>11</v>
      </c>
      <c r="B93" s="140" t="s">
        <v>194</v>
      </c>
      <c r="C93" s="140" t="s">
        <v>189</v>
      </c>
      <c r="D93" s="140" t="s">
        <v>105</v>
      </c>
      <c r="E93" s="141" t="s">
        <v>121</v>
      </c>
      <c r="F93" s="140"/>
      <c r="G93" s="140" t="s">
        <v>402</v>
      </c>
      <c r="H93" s="140" t="s">
        <v>403</v>
      </c>
      <c r="I93" s="140" t="s">
        <v>404</v>
      </c>
      <c r="J93" s="217">
        <v>18</v>
      </c>
      <c r="K93" s="140" t="s">
        <v>36</v>
      </c>
      <c r="L93" s="140" t="s">
        <v>663</v>
      </c>
      <c r="M93" s="140" t="s">
        <v>121</v>
      </c>
      <c r="N93" s="140" t="s">
        <v>657</v>
      </c>
    </row>
    <row r="94" spans="1:14" ht="18.75" customHeight="1" x14ac:dyDescent="0.25">
      <c r="A94" s="139">
        <v>12</v>
      </c>
      <c r="B94" s="140" t="s">
        <v>194</v>
      </c>
      <c r="C94" s="140" t="s">
        <v>189</v>
      </c>
      <c r="D94" s="140" t="s">
        <v>105</v>
      </c>
      <c r="E94" s="141" t="s">
        <v>121</v>
      </c>
      <c r="F94" s="140"/>
      <c r="G94" s="140" t="s">
        <v>406</v>
      </c>
      <c r="H94" s="140" t="s">
        <v>407</v>
      </c>
      <c r="I94" s="140" t="s">
        <v>367</v>
      </c>
      <c r="J94" s="217">
        <v>19</v>
      </c>
      <c r="K94" s="140" t="s">
        <v>480</v>
      </c>
      <c r="L94" s="140" t="s">
        <v>658</v>
      </c>
      <c r="M94" s="140" t="s">
        <v>412</v>
      </c>
      <c r="N94" s="140" t="s">
        <v>659</v>
      </c>
    </row>
    <row r="95" spans="1:14" ht="18.75" customHeight="1" x14ac:dyDescent="0.25">
      <c r="A95" s="139">
        <v>13</v>
      </c>
      <c r="B95" s="140" t="s">
        <v>194</v>
      </c>
      <c r="C95" s="140" t="s">
        <v>189</v>
      </c>
      <c r="D95" s="140" t="s">
        <v>105</v>
      </c>
      <c r="E95" s="141" t="s">
        <v>121</v>
      </c>
      <c r="F95" s="140"/>
      <c r="G95" s="140" t="s">
        <v>409</v>
      </c>
      <c r="H95" s="140" t="s">
        <v>410</v>
      </c>
      <c r="I95" s="140" t="s">
        <v>360</v>
      </c>
      <c r="J95" s="217">
        <v>20</v>
      </c>
      <c r="K95" s="140" t="s">
        <v>36</v>
      </c>
      <c r="L95" s="140" t="s">
        <v>664</v>
      </c>
      <c r="M95" s="140" t="s">
        <v>121</v>
      </c>
      <c r="N95" s="140" t="s">
        <v>657</v>
      </c>
    </row>
    <row r="96" spans="1:14" ht="18.75" customHeight="1" x14ac:dyDescent="0.25">
      <c r="A96" s="139">
        <v>14</v>
      </c>
      <c r="B96" s="140" t="s">
        <v>194</v>
      </c>
      <c r="C96" s="140" t="s">
        <v>189</v>
      </c>
      <c r="D96" s="140" t="s">
        <v>105</v>
      </c>
      <c r="E96" s="141" t="s">
        <v>121</v>
      </c>
      <c r="F96" s="140"/>
      <c r="G96" s="140" t="s">
        <v>415</v>
      </c>
      <c r="H96" s="140" t="s">
        <v>416</v>
      </c>
      <c r="I96" s="140" t="s">
        <v>385</v>
      </c>
      <c r="J96" s="217">
        <v>14</v>
      </c>
      <c r="K96" s="140" t="s">
        <v>36</v>
      </c>
      <c r="L96" s="140" t="s">
        <v>665</v>
      </c>
      <c r="M96" s="140" t="s">
        <v>121</v>
      </c>
      <c r="N96" s="140" t="s">
        <v>657</v>
      </c>
    </row>
    <row r="97" spans="1:14" ht="18.75" customHeight="1" x14ac:dyDescent="0.25">
      <c r="A97" s="139">
        <v>15</v>
      </c>
      <c r="B97" s="140" t="s">
        <v>194</v>
      </c>
      <c r="C97" s="140" t="s">
        <v>189</v>
      </c>
      <c r="D97" s="140" t="s">
        <v>105</v>
      </c>
      <c r="E97" s="141" t="s">
        <v>121</v>
      </c>
      <c r="F97" s="140"/>
      <c r="G97" s="140" t="s">
        <v>418</v>
      </c>
      <c r="H97" s="140" t="s">
        <v>419</v>
      </c>
      <c r="I97" s="140" t="s">
        <v>421</v>
      </c>
      <c r="J97" s="217">
        <v>6</v>
      </c>
      <c r="K97" s="140" t="s">
        <v>480</v>
      </c>
      <c r="L97" s="140" t="s">
        <v>658</v>
      </c>
      <c r="M97" s="140" t="s">
        <v>412</v>
      </c>
      <c r="N97" s="140" t="s">
        <v>659</v>
      </c>
    </row>
    <row r="98" spans="1:14" ht="18.75" customHeight="1" x14ac:dyDescent="0.25">
      <c r="A98" s="139">
        <v>16</v>
      </c>
      <c r="B98" s="140" t="s">
        <v>194</v>
      </c>
      <c r="C98" s="140" t="s">
        <v>189</v>
      </c>
      <c r="D98" s="140" t="s">
        <v>105</v>
      </c>
      <c r="E98" s="141" t="s">
        <v>121</v>
      </c>
      <c r="F98" s="140"/>
      <c r="G98" s="140" t="s">
        <v>423</v>
      </c>
      <c r="H98" s="140" t="s">
        <v>424</v>
      </c>
      <c r="I98" s="140" t="s">
        <v>425</v>
      </c>
      <c r="J98" s="217">
        <v>12</v>
      </c>
      <c r="K98" s="140" t="s">
        <v>36</v>
      </c>
      <c r="L98" s="140" t="s">
        <v>666</v>
      </c>
      <c r="M98" s="140" t="s">
        <v>121</v>
      </c>
      <c r="N98" s="140" t="s">
        <v>657</v>
      </c>
    </row>
    <row r="99" spans="1:14" ht="18.75" customHeight="1" x14ac:dyDescent="0.25">
      <c r="A99" s="139">
        <v>17</v>
      </c>
      <c r="B99" s="140" t="s">
        <v>194</v>
      </c>
      <c r="C99" s="140" t="s">
        <v>189</v>
      </c>
      <c r="D99" s="140" t="s">
        <v>105</v>
      </c>
      <c r="E99" s="141" t="s">
        <v>121</v>
      </c>
      <c r="F99" s="140"/>
      <c r="G99" s="140" t="s">
        <v>427</v>
      </c>
      <c r="H99" s="140" t="s">
        <v>428</v>
      </c>
      <c r="I99" s="140" t="s">
        <v>429</v>
      </c>
      <c r="J99" s="217">
        <v>14</v>
      </c>
      <c r="K99" s="140" t="s">
        <v>480</v>
      </c>
      <c r="L99" s="140" t="s">
        <v>658</v>
      </c>
      <c r="M99" s="140" t="s">
        <v>412</v>
      </c>
      <c r="N99" s="140" t="s">
        <v>659</v>
      </c>
    </row>
    <row r="100" spans="1:14" ht="18.75" customHeight="1" x14ac:dyDescent="0.25">
      <c r="A100" s="139">
        <v>18</v>
      </c>
      <c r="B100" s="140" t="s">
        <v>194</v>
      </c>
      <c r="C100" s="140" t="s">
        <v>189</v>
      </c>
      <c r="D100" s="140" t="s">
        <v>105</v>
      </c>
      <c r="E100" s="141" t="s">
        <v>121</v>
      </c>
      <c r="F100" s="140"/>
      <c r="G100" s="140" t="s">
        <v>431</v>
      </c>
      <c r="H100" s="140" t="s">
        <v>432</v>
      </c>
      <c r="I100" s="140" t="s">
        <v>360</v>
      </c>
      <c r="J100" s="217">
        <v>14</v>
      </c>
      <c r="K100" s="140" t="s">
        <v>36</v>
      </c>
      <c r="L100" s="140" t="s">
        <v>667</v>
      </c>
      <c r="M100" s="140" t="s">
        <v>121</v>
      </c>
      <c r="N100" s="140" t="s">
        <v>657</v>
      </c>
    </row>
    <row r="101" spans="1:14" ht="18.75" customHeight="1" x14ac:dyDescent="0.25">
      <c r="A101" s="139">
        <v>19</v>
      </c>
      <c r="B101" s="140" t="s">
        <v>194</v>
      </c>
      <c r="C101" s="140" t="s">
        <v>189</v>
      </c>
      <c r="D101" s="140" t="s">
        <v>105</v>
      </c>
      <c r="E101" s="141" t="s">
        <v>121</v>
      </c>
      <c r="F101" s="140"/>
      <c r="G101" s="140" t="s">
        <v>434</v>
      </c>
      <c r="H101" s="140" t="s">
        <v>435</v>
      </c>
      <c r="I101" s="140" t="s">
        <v>436</v>
      </c>
      <c r="J101" s="217">
        <v>19</v>
      </c>
      <c r="K101" s="140" t="s">
        <v>480</v>
      </c>
      <c r="L101" s="140" t="s">
        <v>658</v>
      </c>
      <c r="M101" s="140" t="s">
        <v>412</v>
      </c>
      <c r="N101" s="140" t="s">
        <v>659</v>
      </c>
    </row>
    <row r="102" spans="1:14" ht="18.75" customHeight="1" x14ac:dyDescent="0.25">
      <c r="A102" s="139">
        <v>20</v>
      </c>
      <c r="B102" s="140" t="s">
        <v>194</v>
      </c>
      <c r="C102" s="140" t="s">
        <v>189</v>
      </c>
      <c r="D102" s="140" t="s">
        <v>105</v>
      </c>
      <c r="E102" s="141" t="s">
        <v>121</v>
      </c>
      <c r="F102" s="140"/>
      <c r="G102" s="140" t="s">
        <v>438</v>
      </c>
      <c r="H102" s="140" t="s">
        <v>439</v>
      </c>
      <c r="I102" s="140" t="s">
        <v>440</v>
      </c>
      <c r="J102" s="217">
        <v>7</v>
      </c>
      <c r="K102" s="140" t="s">
        <v>36</v>
      </c>
      <c r="L102" s="140" t="s">
        <v>668</v>
      </c>
      <c r="M102" s="140" t="s">
        <v>121</v>
      </c>
      <c r="N102" s="140" t="s">
        <v>657</v>
      </c>
    </row>
    <row r="103" spans="1:14" ht="18.75" customHeight="1" x14ac:dyDescent="0.25">
      <c r="A103" s="139">
        <v>21</v>
      </c>
      <c r="B103" s="140" t="s">
        <v>194</v>
      </c>
      <c r="C103" s="140" t="s">
        <v>189</v>
      </c>
      <c r="D103" s="140" t="s">
        <v>105</v>
      </c>
      <c r="E103" s="141" t="s">
        <v>121</v>
      </c>
      <c r="F103" s="140"/>
      <c r="G103" s="140" t="s">
        <v>442</v>
      </c>
      <c r="H103" s="140" t="s">
        <v>443</v>
      </c>
      <c r="I103" s="140" t="s">
        <v>381</v>
      </c>
      <c r="J103" s="217">
        <v>12</v>
      </c>
      <c r="K103" s="140" t="s">
        <v>480</v>
      </c>
      <c r="L103" s="140" t="s">
        <v>658</v>
      </c>
      <c r="M103" s="140" t="s">
        <v>412</v>
      </c>
      <c r="N103" s="140" t="s">
        <v>659</v>
      </c>
    </row>
    <row r="104" spans="1:14" ht="18.75" customHeight="1" x14ac:dyDescent="0.25">
      <c r="A104" s="139">
        <v>22</v>
      </c>
      <c r="B104" s="140" t="s">
        <v>194</v>
      </c>
      <c r="C104" s="140" t="s">
        <v>189</v>
      </c>
      <c r="D104" s="140" t="s">
        <v>105</v>
      </c>
      <c r="E104" s="141" t="s">
        <v>121</v>
      </c>
      <c r="F104" s="140"/>
      <c r="G104" s="140" t="s">
        <v>445</v>
      </c>
      <c r="H104" s="140" t="s">
        <v>446</v>
      </c>
      <c r="I104" s="140" t="s">
        <v>372</v>
      </c>
      <c r="J104" s="217">
        <v>13</v>
      </c>
      <c r="K104" s="140" t="s">
        <v>36</v>
      </c>
      <c r="L104" s="140" t="s">
        <v>669</v>
      </c>
      <c r="M104" s="140" t="s">
        <v>121</v>
      </c>
      <c r="N104" s="140" t="s">
        <v>657</v>
      </c>
    </row>
    <row r="105" spans="1:14" ht="18.75" customHeight="1" x14ac:dyDescent="0.25">
      <c r="A105" s="139">
        <v>23</v>
      </c>
      <c r="B105" s="140" t="s">
        <v>194</v>
      </c>
      <c r="C105" s="140" t="s">
        <v>189</v>
      </c>
      <c r="D105" s="140" t="s">
        <v>105</v>
      </c>
      <c r="E105" s="141" t="s">
        <v>121</v>
      </c>
      <c r="F105" s="140"/>
      <c r="G105" s="140" t="s">
        <v>449</v>
      </c>
      <c r="H105" s="140" t="s">
        <v>450</v>
      </c>
      <c r="I105" s="140" t="s">
        <v>451</v>
      </c>
      <c r="J105" s="217">
        <v>11</v>
      </c>
      <c r="K105" s="140" t="s">
        <v>36</v>
      </c>
      <c r="L105" s="140" t="s">
        <v>670</v>
      </c>
      <c r="M105" s="140" t="s">
        <v>121</v>
      </c>
      <c r="N105" s="140" t="s">
        <v>657</v>
      </c>
    </row>
    <row r="106" spans="1:14" ht="18.75" customHeight="1" x14ac:dyDescent="0.25">
      <c r="A106" s="139">
        <v>24</v>
      </c>
      <c r="B106" s="140" t="s">
        <v>194</v>
      </c>
      <c r="C106" s="140" t="s">
        <v>189</v>
      </c>
      <c r="D106" s="140" t="s">
        <v>105</v>
      </c>
      <c r="E106" s="141" t="s">
        <v>121</v>
      </c>
      <c r="F106" s="140"/>
      <c r="G106" s="140" t="s">
        <v>453</v>
      </c>
      <c r="H106" s="140" t="s">
        <v>454</v>
      </c>
      <c r="I106" s="140" t="s">
        <v>455</v>
      </c>
      <c r="J106" s="217">
        <v>18</v>
      </c>
      <c r="K106" s="140" t="s">
        <v>480</v>
      </c>
      <c r="L106" s="140" t="s">
        <v>658</v>
      </c>
      <c r="M106" s="140" t="s">
        <v>412</v>
      </c>
      <c r="N106" s="140" t="s">
        <v>659</v>
      </c>
    </row>
    <row r="107" spans="1:14" ht="18.75" customHeight="1" x14ac:dyDescent="0.25">
      <c r="A107" s="139">
        <v>25</v>
      </c>
      <c r="B107" s="140" t="s">
        <v>194</v>
      </c>
      <c r="C107" s="140" t="s">
        <v>189</v>
      </c>
      <c r="D107" s="140" t="s">
        <v>105</v>
      </c>
      <c r="E107" s="141" t="s">
        <v>121</v>
      </c>
      <c r="F107" s="140"/>
      <c r="G107" s="140" t="s">
        <v>457</v>
      </c>
      <c r="H107" s="140" t="s">
        <v>458</v>
      </c>
      <c r="I107" s="140" t="s">
        <v>459</v>
      </c>
      <c r="J107" s="217">
        <v>8</v>
      </c>
      <c r="K107" s="140" t="s">
        <v>36</v>
      </c>
      <c r="L107" s="140" t="s">
        <v>671</v>
      </c>
      <c r="M107" s="140" t="s">
        <v>121</v>
      </c>
      <c r="N107" s="140" t="s">
        <v>657</v>
      </c>
    </row>
    <row r="108" spans="1:14" ht="18.75" customHeight="1" x14ac:dyDescent="0.25">
      <c r="A108" s="139" t="s">
        <v>738</v>
      </c>
      <c r="B108" s="140" t="s">
        <v>194</v>
      </c>
      <c r="C108" s="140" t="s">
        <v>189</v>
      </c>
      <c r="D108" s="140" t="s">
        <v>105</v>
      </c>
      <c r="E108" s="141" t="s">
        <v>121</v>
      </c>
      <c r="F108" s="140"/>
      <c r="G108" s="140" t="s">
        <v>678</v>
      </c>
      <c r="H108" s="140" t="s">
        <v>450</v>
      </c>
      <c r="I108" s="140" t="s">
        <v>377</v>
      </c>
      <c r="J108" s="217">
        <v>12</v>
      </c>
      <c r="K108" s="140"/>
      <c r="L108" s="140"/>
      <c r="M108" s="140"/>
      <c r="N108" s="140"/>
    </row>
    <row r="109" spans="1:14" ht="18.75" customHeight="1" x14ac:dyDescent="0.25">
      <c r="A109" s="139">
        <v>1</v>
      </c>
      <c r="B109" s="140" t="s">
        <v>195</v>
      </c>
      <c r="C109" s="140" t="s">
        <v>196</v>
      </c>
      <c r="D109" s="140" t="s">
        <v>197</v>
      </c>
      <c r="E109" s="141" t="s">
        <v>121</v>
      </c>
      <c r="F109" s="140"/>
      <c r="G109" s="140" t="s">
        <v>353</v>
      </c>
      <c r="H109" s="140" t="s">
        <v>354</v>
      </c>
      <c r="I109" s="140" t="s">
        <v>360</v>
      </c>
      <c r="J109" s="217">
        <v>13</v>
      </c>
      <c r="K109" s="140" t="s">
        <v>36</v>
      </c>
      <c r="L109" s="140" t="s">
        <v>656</v>
      </c>
      <c r="M109" s="140" t="s">
        <v>121</v>
      </c>
      <c r="N109" s="140" t="s">
        <v>657</v>
      </c>
    </row>
    <row r="110" spans="1:14" ht="18.75" customHeight="1" x14ac:dyDescent="0.25">
      <c r="A110" s="139">
        <v>2</v>
      </c>
      <c r="B110" s="140" t="s">
        <v>195</v>
      </c>
      <c r="C110" s="140" t="s">
        <v>196</v>
      </c>
      <c r="D110" s="140" t="s">
        <v>197</v>
      </c>
      <c r="E110" s="141" t="s">
        <v>121</v>
      </c>
      <c r="F110" s="140"/>
      <c r="G110" s="140" t="s">
        <v>363</v>
      </c>
      <c r="H110" s="140" t="s">
        <v>364</v>
      </c>
      <c r="I110" s="140" t="s">
        <v>367</v>
      </c>
      <c r="J110" s="217">
        <v>5</v>
      </c>
      <c r="K110" s="140" t="s">
        <v>480</v>
      </c>
      <c r="L110" s="140" t="s">
        <v>658</v>
      </c>
      <c r="M110" s="140" t="s">
        <v>412</v>
      </c>
      <c r="N110" s="140" t="s">
        <v>659</v>
      </c>
    </row>
    <row r="111" spans="1:14" ht="4.5" customHeight="1" x14ac:dyDescent="0.25">
      <c r="A111" s="105">
        <v>3</v>
      </c>
      <c r="B111" s="105" t="s">
        <v>195</v>
      </c>
      <c r="C111" s="105" t="s">
        <v>196</v>
      </c>
      <c r="D111" s="105" t="s">
        <v>197</v>
      </c>
      <c r="E111" s="105" t="s">
        <v>121</v>
      </c>
      <c r="F111" s="105"/>
      <c r="G111" s="105" t="s">
        <v>369</v>
      </c>
      <c r="H111" s="105" t="s">
        <v>370</v>
      </c>
      <c r="I111" s="105" t="s">
        <v>372</v>
      </c>
      <c r="J111" s="201">
        <v>7</v>
      </c>
      <c r="K111" s="105" t="s">
        <v>480</v>
      </c>
      <c r="L111" s="105" t="s">
        <v>658</v>
      </c>
      <c r="M111" s="105" t="s">
        <v>412</v>
      </c>
      <c r="N111" s="105" t="s">
        <v>659</v>
      </c>
    </row>
    <row r="112" spans="1:14" ht="19.5" customHeight="1" x14ac:dyDescent="0.25">
      <c r="A112" s="276" t="s">
        <v>738</v>
      </c>
      <c r="B112" s="260"/>
      <c r="C112" s="260"/>
      <c r="D112" s="260"/>
      <c r="E112" s="260"/>
      <c r="F112" s="260"/>
      <c r="G112" s="260"/>
      <c r="H112" s="260"/>
      <c r="I112" s="260"/>
      <c r="J112" s="260"/>
      <c r="K112" s="260"/>
      <c r="L112" s="260"/>
      <c r="M112" s="260"/>
      <c r="N112" s="261"/>
    </row>
    <row r="113" spans="1:14" ht="18.75" customHeight="1" x14ac:dyDescent="0.25">
      <c r="A113" s="34">
        <v>5</v>
      </c>
      <c r="B113" s="35" t="s">
        <v>195</v>
      </c>
      <c r="C113" s="35" t="s">
        <v>196</v>
      </c>
      <c r="D113" s="35" t="s">
        <v>197</v>
      </c>
      <c r="E113" s="109" t="s">
        <v>121</v>
      </c>
      <c r="F113" s="35"/>
      <c r="G113" s="35" t="s">
        <v>379</v>
      </c>
      <c r="H113" s="35" t="s">
        <v>380</v>
      </c>
      <c r="I113" s="35" t="s">
        <v>381</v>
      </c>
      <c r="J113" s="198">
        <v>5</v>
      </c>
      <c r="K113" s="35" t="s">
        <v>480</v>
      </c>
      <c r="L113" s="35" t="s">
        <v>658</v>
      </c>
      <c r="M113" s="35" t="s">
        <v>412</v>
      </c>
      <c r="N113" s="35" t="s">
        <v>659</v>
      </c>
    </row>
    <row r="114" spans="1:14" ht="18.75" customHeight="1" x14ac:dyDescent="0.25">
      <c r="A114" s="136">
        <v>6</v>
      </c>
      <c r="B114" s="137" t="s">
        <v>195</v>
      </c>
      <c r="C114" s="137" t="s">
        <v>196</v>
      </c>
      <c r="D114" s="137" t="s">
        <v>197</v>
      </c>
      <c r="E114" s="142" t="s">
        <v>121</v>
      </c>
      <c r="F114" s="137"/>
      <c r="G114" s="137" t="s">
        <v>383</v>
      </c>
      <c r="H114" s="137" t="s">
        <v>384</v>
      </c>
      <c r="I114" s="137" t="s">
        <v>385</v>
      </c>
      <c r="J114" s="216">
        <v>4</v>
      </c>
      <c r="K114" s="137" t="s">
        <v>36</v>
      </c>
      <c r="L114" s="137" t="s">
        <v>661</v>
      </c>
      <c r="M114" s="137" t="s">
        <v>121</v>
      </c>
      <c r="N114" s="137" t="s">
        <v>657</v>
      </c>
    </row>
    <row r="115" spans="1:14" ht="18.75" customHeight="1" x14ac:dyDescent="0.25">
      <c r="A115" s="136">
        <v>7</v>
      </c>
      <c r="B115" s="137" t="s">
        <v>195</v>
      </c>
      <c r="C115" s="137" t="s">
        <v>196</v>
      </c>
      <c r="D115" s="137" t="s">
        <v>197</v>
      </c>
      <c r="E115" s="142" t="s">
        <v>121</v>
      </c>
      <c r="F115" s="137"/>
      <c r="G115" s="137" t="s">
        <v>387</v>
      </c>
      <c r="H115" s="137" t="s">
        <v>388</v>
      </c>
      <c r="I115" s="137" t="s">
        <v>389</v>
      </c>
      <c r="J115" s="216">
        <v>3</v>
      </c>
      <c r="K115" s="137" t="s">
        <v>480</v>
      </c>
      <c r="L115" s="137" t="s">
        <v>658</v>
      </c>
      <c r="M115" s="137" t="s">
        <v>412</v>
      </c>
      <c r="N115" s="137" t="s">
        <v>659</v>
      </c>
    </row>
    <row r="116" spans="1:14" ht="18.75" customHeight="1" x14ac:dyDescent="0.25">
      <c r="A116" s="136">
        <v>8</v>
      </c>
      <c r="B116" s="137" t="s">
        <v>195</v>
      </c>
      <c r="C116" s="137" t="s">
        <v>196</v>
      </c>
      <c r="D116" s="137" t="s">
        <v>197</v>
      </c>
      <c r="E116" s="142" t="s">
        <v>121</v>
      </c>
      <c r="F116" s="137"/>
      <c r="G116" s="137" t="s">
        <v>391</v>
      </c>
      <c r="H116" s="137" t="s">
        <v>392</v>
      </c>
      <c r="I116" s="137" t="s">
        <v>393</v>
      </c>
      <c r="J116" s="216">
        <v>5</v>
      </c>
      <c r="K116" s="137" t="s">
        <v>480</v>
      </c>
      <c r="L116" s="137" t="s">
        <v>658</v>
      </c>
      <c r="M116" s="137" t="s">
        <v>412</v>
      </c>
      <c r="N116" s="137" t="s">
        <v>659</v>
      </c>
    </row>
    <row r="117" spans="1:14" ht="18.75" customHeight="1" x14ac:dyDescent="0.25">
      <c r="A117" s="136">
        <v>9</v>
      </c>
      <c r="B117" s="137" t="s">
        <v>195</v>
      </c>
      <c r="C117" s="137" t="s">
        <v>196</v>
      </c>
      <c r="D117" s="137" t="s">
        <v>197</v>
      </c>
      <c r="E117" s="142" t="s">
        <v>121</v>
      </c>
      <c r="F117" s="137"/>
      <c r="G117" s="137" t="s">
        <v>395</v>
      </c>
      <c r="H117" s="137" t="s">
        <v>396</v>
      </c>
      <c r="I117" s="137" t="s">
        <v>360</v>
      </c>
      <c r="J117" s="216">
        <v>15</v>
      </c>
      <c r="K117" s="137" t="s">
        <v>36</v>
      </c>
      <c r="L117" s="137" t="s">
        <v>662</v>
      </c>
      <c r="M117" s="137" t="s">
        <v>121</v>
      </c>
      <c r="N117" s="137" t="s">
        <v>657</v>
      </c>
    </row>
    <row r="118" spans="1:14" ht="18.75" customHeight="1" x14ac:dyDescent="0.25">
      <c r="A118" s="136">
        <v>10</v>
      </c>
      <c r="B118" s="137" t="s">
        <v>195</v>
      </c>
      <c r="C118" s="137" t="s">
        <v>196</v>
      </c>
      <c r="D118" s="137" t="s">
        <v>197</v>
      </c>
      <c r="E118" s="142" t="s">
        <v>121</v>
      </c>
      <c r="F118" s="137"/>
      <c r="G118" s="137" t="s">
        <v>399</v>
      </c>
      <c r="H118" s="137" t="s">
        <v>400</v>
      </c>
      <c r="I118" s="137" t="s">
        <v>372</v>
      </c>
      <c r="J118" s="216">
        <v>7</v>
      </c>
      <c r="K118" s="137" t="s">
        <v>480</v>
      </c>
      <c r="L118" s="137" t="s">
        <v>658</v>
      </c>
      <c r="M118" s="137" t="s">
        <v>412</v>
      </c>
      <c r="N118" s="137" t="s">
        <v>659</v>
      </c>
    </row>
    <row r="119" spans="1:14" ht="18.75" customHeight="1" x14ac:dyDescent="0.25">
      <c r="A119" s="136">
        <v>11</v>
      </c>
      <c r="B119" s="137" t="s">
        <v>195</v>
      </c>
      <c r="C119" s="137" t="s">
        <v>196</v>
      </c>
      <c r="D119" s="137" t="s">
        <v>197</v>
      </c>
      <c r="E119" s="142" t="s">
        <v>121</v>
      </c>
      <c r="F119" s="137"/>
      <c r="G119" s="137" t="s">
        <v>402</v>
      </c>
      <c r="H119" s="137" t="s">
        <v>403</v>
      </c>
      <c r="I119" s="137" t="s">
        <v>404</v>
      </c>
      <c r="J119" s="216">
        <v>12</v>
      </c>
      <c r="K119" s="137" t="s">
        <v>36</v>
      </c>
      <c r="L119" s="137" t="s">
        <v>663</v>
      </c>
      <c r="M119" s="137" t="s">
        <v>121</v>
      </c>
      <c r="N119" s="137" t="s">
        <v>657</v>
      </c>
    </row>
    <row r="120" spans="1:14" ht="18.75" customHeight="1" x14ac:dyDescent="0.25">
      <c r="A120" s="136">
        <v>12</v>
      </c>
      <c r="B120" s="137" t="s">
        <v>195</v>
      </c>
      <c r="C120" s="137" t="s">
        <v>196</v>
      </c>
      <c r="D120" s="137" t="s">
        <v>197</v>
      </c>
      <c r="E120" s="142" t="s">
        <v>121</v>
      </c>
      <c r="F120" s="137"/>
      <c r="G120" s="137" t="s">
        <v>406</v>
      </c>
      <c r="H120" s="137" t="s">
        <v>407</v>
      </c>
      <c r="I120" s="137" t="s">
        <v>367</v>
      </c>
      <c r="J120" s="216">
        <v>14</v>
      </c>
      <c r="K120" s="137" t="s">
        <v>480</v>
      </c>
      <c r="L120" s="137" t="s">
        <v>658</v>
      </c>
      <c r="M120" s="137" t="s">
        <v>412</v>
      </c>
      <c r="N120" s="137" t="s">
        <v>659</v>
      </c>
    </row>
    <row r="121" spans="1:14" ht="18.75" customHeight="1" x14ac:dyDescent="0.25">
      <c r="A121" s="136">
        <v>13</v>
      </c>
      <c r="B121" s="137" t="s">
        <v>195</v>
      </c>
      <c r="C121" s="137" t="s">
        <v>196</v>
      </c>
      <c r="D121" s="137" t="s">
        <v>197</v>
      </c>
      <c r="E121" s="142" t="s">
        <v>121</v>
      </c>
      <c r="F121" s="137"/>
      <c r="G121" s="137" t="s">
        <v>409</v>
      </c>
      <c r="H121" s="137" t="s">
        <v>410</v>
      </c>
      <c r="I121" s="137" t="s">
        <v>360</v>
      </c>
      <c r="J121" s="216">
        <v>12</v>
      </c>
      <c r="K121" s="137" t="s">
        <v>36</v>
      </c>
      <c r="L121" s="137" t="s">
        <v>664</v>
      </c>
      <c r="M121" s="137" t="s">
        <v>121</v>
      </c>
      <c r="N121" s="137" t="s">
        <v>657</v>
      </c>
    </row>
    <row r="122" spans="1:14" ht="18.75" customHeight="1" x14ac:dyDescent="0.25">
      <c r="A122" s="136">
        <v>14</v>
      </c>
      <c r="B122" s="137" t="s">
        <v>195</v>
      </c>
      <c r="C122" s="137" t="s">
        <v>196</v>
      </c>
      <c r="D122" s="137" t="s">
        <v>197</v>
      </c>
      <c r="E122" s="142" t="s">
        <v>121</v>
      </c>
      <c r="F122" s="137"/>
      <c r="G122" s="137" t="s">
        <v>415</v>
      </c>
      <c r="H122" s="137" t="s">
        <v>416</v>
      </c>
      <c r="I122" s="137" t="s">
        <v>385</v>
      </c>
      <c r="J122" s="216">
        <v>7</v>
      </c>
      <c r="K122" s="137" t="s">
        <v>36</v>
      </c>
      <c r="L122" s="137" t="s">
        <v>665</v>
      </c>
      <c r="M122" s="137" t="s">
        <v>121</v>
      </c>
      <c r="N122" s="137" t="s">
        <v>657</v>
      </c>
    </row>
    <row r="123" spans="1:14" ht="18.75" customHeight="1" x14ac:dyDescent="0.25">
      <c r="A123" s="136">
        <v>15</v>
      </c>
      <c r="B123" s="137" t="s">
        <v>195</v>
      </c>
      <c r="C123" s="137" t="s">
        <v>196</v>
      </c>
      <c r="D123" s="137" t="s">
        <v>197</v>
      </c>
      <c r="E123" s="142" t="s">
        <v>121</v>
      </c>
      <c r="F123" s="137"/>
      <c r="G123" s="137" t="s">
        <v>418</v>
      </c>
      <c r="H123" s="137" t="s">
        <v>419</v>
      </c>
      <c r="I123" s="137" t="s">
        <v>421</v>
      </c>
      <c r="J123" s="216">
        <v>10</v>
      </c>
      <c r="K123" s="137" t="s">
        <v>480</v>
      </c>
      <c r="L123" s="137" t="s">
        <v>658</v>
      </c>
      <c r="M123" s="137" t="s">
        <v>412</v>
      </c>
      <c r="N123" s="137" t="s">
        <v>659</v>
      </c>
    </row>
    <row r="124" spans="1:14" ht="18.75" customHeight="1" x14ac:dyDescent="0.25">
      <c r="A124" s="136">
        <v>16</v>
      </c>
      <c r="B124" s="137" t="s">
        <v>195</v>
      </c>
      <c r="C124" s="137" t="s">
        <v>196</v>
      </c>
      <c r="D124" s="137" t="s">
        <v>197</v>
      </c>
      <c r="E124" s="142" t="s">
        <v>121</v>
      </c>
      <c r="F124" s="137"/>
      <c r="G124" s="137" t="s">
        <v>423</v>
      </c>
      <c r="H124" s="137" t="s">
        <v>424</v>
      </c>
      <c r="I124" s="137" t="s">
        <v>425</v>
      </c>
      <c r="J124" s="216">
        <v>4</v>
      </c>
      <c r="K124" s="137" t="s">
        <v>36</v>
      </c>
      <c r="L124" s="137" t="s">
        <v>666</v>
      </c>
      <c r="M124" s="137" t="s">
        <v>121</v>
      </c>
      <c r="N124" s="137" t="s">
        <v>657</v>
      </c>
    </row>
    <row r="125" spans="1:14" ht="18.75" customHeight="1" x14ac:dyDescent="0.25">
      <c r="A125" s="136">
        <v>17</v>
      </c>
      <c r="B125" s="137" t="s">
        <v>195</v>
      </c>
      <c r="C125" s="137" t="s">
        <v>196</v>
      </c>
      <c r="D125" s="137" t="s">
        <v>197</v>
      </c>
      <c r="E125" s="142" t="s">
        <v>121</v>
      </c>
      <c r="F125" s="137"/>
      <c r="G125" s="137" t="s">
        <v>427</v>
      </c>
      <c r="H125" s="137" t="s">
        <v>428</v>
      </c>
      <c r="I125" s="137" t="s">
        <v>429</v>
      </c>
      <c r="J125" s="216">
        <v>10</v>
      </c>
      <c r="K125" s="137" t="s">
        <v>480</v>
      </c>
      <c r="L125" s="137" t="s">
        <v>658</v>
      </c>
      <c r="M125" s="137" t="s">
        <v>412</v>
      </c>
      <c r="N125" s="137" t="s">
        <v>659</v>
      </c>
    </row>
    <row r="126" spans="1:14" ht="18.75" customHeight="1" x14ac:dyDescent="0.25">
      <c r="A126" s="136">
        <v>18</v>
      </c>
      <c r="B126" s="137" t="s">
        <v>195</v>
      </c>
      <c r="C126" s="137" t="s">
        <v>196</v>
      </c>
      <c r="D126" s="137" t="s">
        <v>197</v>
      </c>
      <c r="E126" s="142" t="s">
        <v>121</v>
      </c>
      <c r="F126" s="137"/>
      <c r="G126" s="137" t="s">
        <v>431</v>
      </c>
      <c r="H126" s="137" t="s">
        <v>432</v>
      </c>
      <c r="I126" s="137" t="s">
        <v>360</v>
      </c>
      <c r="J126" s="216">
        <v>14</v>
      </c>
      <c r="K126" s="137" t="s">
        <v>36</v>
      </c>
      <c r="L126" s="137" t="s">
        <v>667</v>
      </c>
      <c r="M126" s="137" t="s">
        <v>121</v>
      </c>
      <c r="N126" s="137" t="s">
        <v>657</v>
      </c>
    </row>
    <row r="127" spans="1:14" ht="18.75" customHeight="1" x14ac:dyDescent="0.25">
      <c r="A127" s="136">
        <v>19</v>
      </c>
      <c r="B127" s="137" t="s">
        <v>195</v>
      </c>
      <c r="C127" s="137" t="s">
        <v>196</v>
      </c>
      <c r="D127" s="137" t="s">
        <v>197</v>
      </c>
      <c r="E127" s="142" t="s">
        <v>121</v>
      </c>
      <c r="F127" s="137"/>
      <c r="G127" s="137" t="s">
        <v>434</v>
      </c>
      <c r="H127" s="137" t="s">
        <v>435</v>
      </c>
      <c r="I127" s="137" t="s">
        <v>436</v>
      </c>
      <c r="J127" s="216">
        <v>7</v>
      </c>
      <c r="K127" s="137" t="s">
        <v>480</v>
      </c>
      <c r="L127" s="137" t="s">
        <v>658</v>
      </c>
      <c r="M127" s="137" t="s">
        <v>412</v>
      </c>
      <c r="N127" s="137" t="s">
        <v>659</v>
      </c>
    </row>
    <row r="128" spans="1:14" ht="18.75" customHeight="1" x14ac:dyDescent="0.25">
      <c r="A128" s="136">
        <v>20</v>
      </c>
      <c r="B128" s="137" t="s">
        <v>195</v>
      </c>
      <c r="C128" s="137" t="s">
        <v>196</v>
      </c>
      <c r="D128" s="137" t="s">
        <v>197</v>
      </c>
      <c r="E128" s="142" t="s">
        <v>121</v>
      </c>
      <c r="F128" s="137"/>
      <c r="G128" s="137" t="s">
        <v>438</v>
      </c>
      <c r="H128" s="137" t="s">
        <v>439</v>
      </c>
      <c r="I128" s="137" t="s">
        <v>440</v>
      </c>
      <c r="J128" s="216">
        <v>14</v>
      </c>
      <c r="K128" s="137" t="s">
        <v>36</v>
      </c>
      <c r="L128" s="137" t="s">
        <v>668</v>
      </c>
      <c r="M128" s="137" t="s">
        <v>121</v>
      </c>
      <c r="N128" s="137" t="s">
        <v>657</v>
      </c>
    </row>
    <row r="129" spans="1:14" ht="18.75" customHeight="1" x14ac:dyDescent="0.25">
      <c r="A129" s="136">
        <v>21</v>
      </c>
      <c r="B129" s="137" t="s">
        <v>195</v>
      </c>
      <c r="C129" s="137" t="s">
        <v>196</v>
      </c>
      <c r="D129" s="137" t="s">
        <v>197</v>
      </c>
      <c r="E129" s="142" t="s">
        <v>121</v>
      </c>
      <c r="F129" s="137"/>
      <c r="G129" s="137" t="s">
        <v>442</v>
      </c>
      <c r="H129" s="137" t="s">
        <v>443</v>
      </c>
      <c r="I129" s="137" t="s">
        <v>381</v>
      </c>
      <c r="J129" s="216">
        <v>9</v>
      </c>
      <c r="K129" s="137" t="s">
        <v>480</v>
      </c>
      <c r="L129" s="137" t="s">
        <v>658</v>
      </c>
      <c r="M129" s="137" t="s">
        <v>412</v>
      </c>
      <c r="N129" s="137" t="s">
        <v>659</v>
      </c>
    </row>
    <row r="130" spans="1:14" ht="18.75" customHeight="1" x14ac:dyDescent="0.25">
      <c r="A130" s="136">
        <v>22</v>
      </c>
      <c r="B130" s="137" t="s">
        <v>195</v>
      </c>
      <c r="C130" s="137" t="s">
        <v>196</v>
      </c>
      <c r="D130" s="137" t="s">
        <v>197</v>
      </c>
      <c r="E130" s="142" t="s">
        <v>121</v>
      </c>
      <c r="F130" s="137"/>
      <c r="G130" s="137" t="s">
        <v>445</v>
      </c>
      <c r="H130" s="137" t="s">
        <v>446</v>
      </c>
      <c r="I130" s="137" t="s">
        <v>372</v>
      </c>
      <c r="J130" s="216">
        <v>7</v>
      </c>
      <c r="K130" s="137" t="s">
        <v>36</v>
      </c>
      <c r="L130" s="137" t="s">
        <v>669</v>
      </c>
      <c r="M130" s="137" t="s">
        <v>121</v>
      </c>
      <c r="N130" s="137" t="s">
        <v>657</v>
      </c>
    </row>
    <row r="131" spans="1:14" ht="18.75" customHeight="1" x14ac:dyDescent="0.25">
      <c r="A131" s="136">
        <v>23</v>
      </c>
      <c r="B131" s="137" t="s">
        <v>195</v>
      </c>
      <c r="C131" s="137" t="s">
        <v>196</v>
      </c>
      <c r="D131" s="137" t="s">
        <v>197</v>
      </c>
      <c r="E131" s="142" t="s">
        <v>121</v>
      </c>
      <c r="F131" s="137"/>
      <c r="G131" s="137" t="s">
        <v>449</v>
      </c>
      <c r="H131" s="137" t="s">
        <v>450</v>
      </c>
      <c r="I131" s="137" t="s">
        <v>451</v>
      </c>
      <c r="J131" s="216">
        <v>11</v>
      </c>
      <c r="K131" s="137" t="s">
        <v>36</v>
      </c>
      <c r="L131" s="137" t="s">
        <v>670</v>
      </c>
      <c r="M131" s="137" t="s">
        <v>121</v>
      </c>
      <c r="N131" s="137" t="s">
        <v>657</v>
      </c>
    </row>
    <row r="132" spans="1:14" ht="18.75" customHeight="1" x14ac:dyDescent="0.25">
      <c r="A132" s="136">
        <v>24</v>
      </c>
      <c r="B132" s="137" t="s">
        <v>195</v>
      </c>
      <c r="C132" s="137" t="s">
        <v>196</v>
      </c>
      <c r="D132" s="137" t="s">
        <v>197</v>
      </c>
      <c r="E132" s="142" t="s">
        <v>121</v>
      </c>
      <c r="F132" s="137"/>
      <c r="G132" s="137" t="s">
        <v>453</v>
      </c>
      <c r="H132" s="137" t="s">
        <v>454</v>
      </c>
      <c r="I132" s="137" t="s">
        <v>455</v>
      </c>
      <c r="J132" s="216">
        <v>11</v>
      </c>
      <c r="K132" s="137" t="s">
        <v>480</v>
      </c>
      <c r="L132" s="137" t="s">
        <v>658</v>
      </c>
      <c r="M132" s="137" t="s">
        <v>412</v>
      </c>
      <c r="N132" s="137" t="s">
        <v>659</v>
      </c>
    </row>
    <row r="133" spans="1:14" ht="18.75" customHeight="1" x14ac:dyDescent="0.25">
      <c r="A133" s="136">
        <v>25</v>
      </c>
      <c r="B133" s="137" t="s">
        <v>195</v>
      </c>
      <c r="C133" s="137" t="s">
        <v>196</v>
      </c>
      <c r="D133" s="137" t="s">
        <v>197</v>
      </c>
      <c r="E133" s="142" t="s">
        <v>121</v>
      </c>
      <c r="F133" s="137"/>
      <c r="G133" s="137" t="s">
        <v>457</v>
      </c>
      <c r="H133" s="137" t="s">
        <v>458</v>
      </c>
      <c r="I133" s="137" t="s">
        <v>459</v>
      </c>
      <c r="J133" s="216">
        <v>10</v>
      </c>
      <c r="K133" s="137" t="s">
        <v>36</v>
      </c>
      <c r="L133" s="137" t="s">
        <v>671</v>
      </c>
      <c r="M133" s="137" t="s">
        <v>121</v>
      </c>
      <c r="N133" s="137" t="s">
        <v>657</v>
      </c>
    </row>
    <row r="134" spans="1:14" ht="18.75" customHeight="1" x14ac:dyDescent="0.25">
      <c r="A134" s="136" t="s">
        <v>739</v>
      </c>
      <c r="B134" s="137" t="s">
        <v>195</v>
      </c>
      <c r="C134" s="137" t="s">
        <v>196</v>
      </c>
      <c r="D134" s="137" t="s">
        <v>197</v>
      </c>
      <c r="E134" s="142" t="s">
        <v>121</v>
      </c>
      <c r="F134" s="137"/>
      <c r="G134" s="137" t="s">
        <v>680</v>
      </c>
      <c r="H134" s="137" t="s">
        <v>446</v>
      </c>
      <c r="I134" s="137" t="s">
        <v>389</v>
      </c>
      <c r="J134" s="216">
        <v>10</v>
      </c>
      <c r="K134" s="137"/>
      <c r="L134" s="137"/>
      <c r="M134" s="137"/>
      <c r="N134" s="137"/>
    </row>
    <row r="135" spans="1:14" ht="18.75" customHeight="1" x14ac:dyDescent="0.25">
      <c r="A135" s="136">
        <v>1</v>
      </c>
      <c r="B135" s="137" t="s">
        <v>198</v>
      </c>
      <c r="C135" s="137" t="s">
        <v>199</v>
      </c>
      <c r="D135" s="137" t="s">
        <v>200</v>
      </c>
      <c r="E135" s="142" t="s">
        <v>104</v>
      </c>
      <c r="F135" s="137"/>
      <c r="G135" s="137" t="s">
        <v>353</v>
      </c>
      <c r="H135" s="137" t="s">
        <v>354</v>
      </c>
      <c r="I135" s="137" t="s">
        <v>360</v>
      </c>
      <c r="J135" s="216">
        <v>4</v>
      </c>
      <c r="K135" s="137" t="s">
        <v>36</v>
      </c>
      <c r="L135" s="137" t="s">
        <v>656</v>
      </c>
      <c r="M135" s="137" t="s">
        <v>104</v>
      </c>
      <c r="N135" s="137" t="s">
        <v>657</v>
      </c>
    </row>
    <row r="136" spans="1:14" ht="18.75" customHeight="1" x14ac:dyDescent="0.25">
      <c r="A136" s="136">
        <v>2</v>
      </c>
      <c r="B136" s="137" t="s">
        <v>198</v>
      </c>
      <c r="C136" s="137" t="s">
        <v>199</v>
      </c>
      <c r="D136" s="137" t="s">
        <v>200</v>
      </c>
      <c r="E136" s="142" t="s">
        <v>104</v>
      </c>
      <c r="F136" s="137"/>
      <c r="G136" s="137" t="s">
        <v>363</v>
      </c>
      <c r="H136" s="137" t="s">
        <v>364</v>
      </c>
      <c r="I136" s="137" t="s">
        <v>367</v>
      </c>
      <c r="J136" s="216">
        <v>12</v>
      </c>
      <c r="K136" s="137" t="s">
        <v>480</v>
      </c>
      <c r="L136" s="137" t="s">
        <v>658</v>
      </c>
      <c r="M136" s="137" t="s">
        <v>412</v>
      </c>
      <c r="N136" s="137" t="s">
        <v>659</v>
      </c>
    </row>
    <row r="137" spans="1:14" ht="18.75" customHeight="1" x14ac:dyDescent="0.25">
      <c r="A137" s="136">
        <v>3</v>
      </c>
      <c r="B137" s="137" t="s">
        <v>198</v>
      </c>
      <c r="C137" s="137" t="s">
        <v>199</v>
      </c>
      <c r="D137" s="137" t="s">
        <v>200</v>
      </c>
      <c r="E137" s="142" t="s">
        <v>104</v>
      </c>
      <c r="F137" s="137"/>
      <c r="G137" s="137" t="s">
        <v>369</v>
      </c>
      <c r="H137" s="137" t="s">
        <v>370</v>
      </c>
      <c r="I137" s="137" t="s">
        <v>372</v>
      </c>
      <c r="J137" s="216">
        <v>3</v>
      </c>
      <c r="K137" s="137" t="s">
        <v>480</v>
      </c>
      <c r="L137" s="137" t="s">
        <v>658</v>
      </c>
      <c r="M137" s="137" t="s">
        <v>412</v>
      </c>
      <c r="N137" s="137" t="s">
        <v>659</v>
      </c>
    </row>
    <row r="138" spans="1:14" ht="4.5" customHeight="1" x14ac:dyDescent="0.25">
      <c r="A138" s="105">
        <v>4</v>
      </c>
      <c r="B138" s="105" t="s">
        <v>198</v>
      </c>
      <c r="C138" s="105" t="s">
        <v>199</v>
      </c>
      <c r="D138" s="105" t="s">
        <v>200</v>
      </c>
      <c r="E138" s="105" t="s">
        <v>104</v>
      </c>
      <c r="F138" s="105"/>
      <c r="G138" s="105" t="s">
        <v>374</v>
      </c>
      <c r="H138" s="105" t="s">
        <v>375</v>
      </c>
      <c r="I138" s="105" t="s">
        <v>377</v>
      </c>
      <c r="J138" s="201">
        <v>9</v>
      </c>
      <c r="K138" s="105" t="s">
        <v>36</v>
      </c>
      <c r="L138" s="105" t="s">
        <v>660</v>
      </c>
      <c r="M138" s="105" t="s">
        <v>104</v>
      </c>
      <c r="N138" s="105" t="s">
        <v>657</v>
      </c>
    </row>
    <row r="139" spans="1:14" ht="19.5" customHeight="1" x14ac:dyDescent="0.25">
      <c r="A139" s="276" t="s">
        <v>739</v>
      </c>
      <c r="B139" s="260"/>
      <c r="C139" s="260"/>
      <c r="D139" s="260"/>
      <c r="E139" s="260"/>
      <c r="F139" s="260"/>
      <c r="G139" s="260"/>
      <c r="H139" s="260"/>
      <c r="I139" s="260"/>
      <c r="J139" s="260"/>
      <c r="K139" s="260"/>
      <c r="L139" s="260"/>
      <c r="M139" s="260"/>
      <c r="N139" s="261"/>
    </row>
    <row r="140" spans="1:14" ht="18.75" customHeight="1" x14ac:dyDescent="0.25">
      <c r="A140" s="34">
        <v>6</v>
      </c>
      <c r="B140" s="35" t="s">
        <v>198</v>
      </c>
      <c r="C140" s="35" t="s">
        <v>199</v>
      </c>
      <c r="D140" s="35" t="s">
        <v>200</v>
      </c>
      <c r="E140" s="101" t="s">
        <v>104</v>
      </c>
      <c r="F140" s="35"/>
      <c r="G140" s="35" t="s">
        <v>383</v>
      </c>
      <c r="H140" s="35" t="s">
        <v>384</v>
      </c>
      <c r="I140" s="35" t="s">
        <v>385</v>
      </c>
      <c r="J140" s="198">
        <v>14</v>
      </c>
      <c r="K140" s="35" t="s">
        <v>36</v>
      </c>
      <c r="L140" s="35" t="s">
        <v>661</v>
      </c>
      <c r="M140" s="35" t="s">
        <v>104</v>
      </c>
      <c r="N140" s="35" t="s">
        <v>657</v>
      </c>
    </row>
    <row r="141" spans="1:14" ht="18.75" customHeight="1" x14ac:dyDescent="0.25">
      <c r="A141" s="139">
        <v>7</v>
      </c>
      <c r="B141" s="140" t="s">
        <v>198</v>
      </c>
      <c r="C141" s="140" t="s">
        <v>199</v>
      </c>
      <c r="D141" s="140" t="s">
        <v>200</v>
      </c>
      <c r="E141" s="143" t="s">
        <v>104</v>
      </c>
      <c r="F141" s="140"/>
      <c r="G141" s="140" t="s">
        <v>387</v>
      </c>
      <c r="H141" s="140" t="s">
        <v>388</v>
      </c>
      <c r="I141" s="140" t="s">
        <v>389</v>
      </c>
      <c r="J141" s="217">
        <v>8</v>
      </c>
      <c r="K141" s="140" t="s">
        <v>480</v>
      </c>
      <c r="L141" s="140" t="s">
        <v>658</v>
      </c>
      <c r="M141" s="140" t="s">
        <v>412</v>
      </c>
      <c r="N141" s="140" t="s">
        <v>659</v>
      </c>
    </row>
    <row r="142" spans="1:14" ht="18.75" customHeight="1" x14ac:dyDescent="0.25">
      <c r="A142" s="139">
        <v>8</v>
      </c>
      <c r="B142" s="140" t="s">
        <v>198</v>
      </c>
      <c r="C142" s="140" t="s">
        <v>199</v>
      </c>
      <c r="D142" s="140" t="s">
        <v>200</v>
      </c>
      <c r="E142" s="143" t="s">
        <v>104</v>
      </c>
      <c r="F142" s="140"/>
      <c r="G142" s="140" t="s">
        <v>391</v>
      </c>
      <c r="H142" s="140" t="s">
        <v>392</v>
      </c>
      <c r="I142" s="140" t="s">
        <v>393</v>
      </c>
      <c r="J142" s="217">
        <v>12</v>
      </c>
      <c r="K142" s="140" t="s">
        <v>480</v>
      </c>
      <c r="L142" s="140" t="s">
        <v>658</v>
      </c>
      <c r="M142" s="140" t="s">
        <v>412</v>
      </c>
      <c r="N142" s="140" t="s">
        <v>659</v>
      </c>
    </row>
    <row r="143" spans="1:14" ht="18.75" customHeight="1" x14ac:dyDescent="0.25">
      <c r="A143" s="139">
        <v>9</v>
      </c>
      <c r="B143" s="140" t="s">
        <v>198</v>
      </c>
      <c r="C143" s="140" t="s">
        <v>199</v>
      </c>
      <c r="D143" s="140" t="s">
        <v>200</v>
      </c>
      <c r="E143" s="143" t="s">
        <v>104</v>
      </c>
      <c r="F143" s="140"/>
      <c r="G143" s="140" t="s">
        <v>395</v>
      </c>
      <c r="H143" s="140" t="s">
        <v>396</v>
      </c>
      <c r="I143" s="140" t="s">
        <v>360</v>
      </c>
      <c r="J143" s="217">
        <v>7</v>
      </c>
      <c r="K143" s="140" t="s">
        <v>36</v>
      </c>
      <c r="L143" s="140" t="s">
        <v>662</v>
      </c>
      <c r="M143" s="140" t="s">
        <v>104</v>
      </c>
      <c r="N143" s="140" t="s">
        <v>657</v>
      </c>
    </row>
    <row r="144" spans="1:14" ht="18.75" customHeight="1" x14ac:dyDescent="0.25">
      <c r="A144" s="139">
        <v>10</v>
      </c>
      <c r="B144" s="140" t="s">
        <v>198</v>
      </c>
      <c r="C144" s="140" t="s">
        <v>199</v>
      </c>
      <c r="D144" s="140" t="s">
        <v>200</v>
      </c>
      <c r="E144" s="143" t="s">
        <v>104</v>
      </c>
      <c r="F144" s="140"/>
      <c r="G144" s="140" t="s">
        <v>399</v>
      </c>
      <c r="H144" s="140" t="s">
        <v>400</v>
      </c>
      <c r="I144" s="140" t="s">
        <v>372</v>
      </c>
      <c r="J144" s="217">
        <v>3</v>
      </c>
      <c r="K144" s="140" t="s">
        <v>480</v>
      </c>
      <c r="L144" s="140" t="s">
        <v>658</v>
      </c>
      <c r="M144" s="140" t="s">
        <v>412</v>
      </c>
      <c r="N144" s="140" t="s">
        <v>659</v>
      </c>
    </row>
    <row r="145" spans="1:14" ht="18.75" customHeight="1" x14ac:dyDescent="0.25">
      <c r="A145" s="139">
        <v>11</v>
      </c>
      <c r="B145" s="140" t="s">
        <v>198</v>
      </c>
      <c r="C145" s="140" t="s">
        <v>199</v>
      </c>
      <c r="D145" s="140" t="s">
        <v>200</v>
      </c>
      <c r="E145" s="143" t="s">
        <v>104</v>
      </c>
      <c r="F145" s="140"/>
      <c r="G145" s="140" t="s">
        <v>402</v>
      </c>
      <c r="H145" s="140" t="s">
        <v>403</v>
      </c>
      <c r="I145" s="140" t="s">
        <v>404</v>
      </c>
      <c r="J145" s="217">
        <v>4</v>
      </c>
      <c r="K145" s="140" t="s">
        <v>36</v>
      </c>
      <c r="L145" s="140" t="s">
        <v>663</v>
      </c>
      <c r="M145" s="140" t="s">
        <v>104</v>
      </c>
      <c r="N145" s="140" t="s">
        <v>657</v>
      </c>
    </row>
    <row r="146" spans="1:14" ht="18.75" customHeight="1" x14ac:dyDescent="0.25">
      <c r="A146" s="139">
        <v>12</v>
      </c>
      <c r="B146" s="140" t="s">
        <v>198</v>
      </c>
      <c r="C146" s="140" t="s">
        <v>199</v>
      </c>
      <c r="D146" s="140" t="s">
        <v>200</v>
      </c>
      <c r="E146" s="143" t="s">
        <v>104</v>
      </c>
      <c r="F146" s="140"/>
      <c r="G146" s="140" t="s">
        <v>406</v>
      </c>
      <c r="H146" s="140" t="s">
        <v>407</v>
      </c>
      <c r="I146" s="140" t="s">
        <v>367</v>
      </c>
      <c r="J146" s="217">
        <v>6</v>
      </c>
      <c r="K146" s="140" t="s">
        <v>480</v>
      </c>
      <c r="L146" s="140" t="s">
        <v>658</v>
      </c>
      <c r="M146" s="140" t="s">
        <v>412</v>
      </c>
      <c r="N146" s="140" t="s">
        <v>659</v>
      </c>
    </row>
    <row r="147" spans="1:14" ht="18.75" customHeight="1" x14ac:dyDescent="0.25">
      <c r="A147" s="139">
        <v>13</v>
      </c>
      <c r="B147" s="140" t="s">
        <v>198</v>
      </c>
      <c r="C147" s="140" t="s">
        <v>199</v>
      </c>
      <c r="D147" s="140" t="s">
        <v>200</v>
      </c>
      <c r="E147" s="143" t="s">
        <v>104</v>
      </c>
      <c r="F147" s="140"/>
      <c r="G147" s="140" t="s">
        <v>409</v>
      </c>
      <c r="H147" s="140" t="s">
        <v>410</v>
      </c>
      <c r="I147" s="140" t="s">
        <v>360</v>
      </c>
      <c r="J147" s="217">
        <v>13</v>
      </c>
      <c r="K147" s="140" t="s">
        <v>36</v>
      </c>
      <c r="L147" s="140" t="s">
        <v>664</v>
      </c>
      <c r="M147" s="140" t="s">
        <v>104</v>
      </c>
      <c r="N147" s="140" t="s">
        <v>657</v>
      </c>
    </row>
    <row r="148" spans="1:14" ht="18.75" customHeight="1" x14ac:dyDescent="0.25">
      <c r="A148" s="139">
        <v>14</v>
      </c>
      <c r="B148" s="140" t="s">
        <v>198</v>
      </c>
      <c r="C148" s="140" t="s">
        <v>199</v>
      </c>
      <c r="D148" s="140" t="s">
        <v>200</v>
      </c>
      <c r="E148" s="143" t="s">
        <v>104</v>
      </c>
      <c r="F148" s="140"/>
      <c r="G148" s="140" t="s">
        <v>415</v>
      </c>
      <c r="H148" s="140" t="s">
        <v>416</v>
      </c>
      <c r="I148" s="140" t="s">
        <v>385</v>
      </c>
      <c r="J148" s="217">
        <v>12</v>
      </c>
      <c r="K148" s="140" t="s">
        <v>36</v>
      </c>
      <c r="L148" s="140" t="s">
        <v>665</v>
      </c>
      <c r="M148" s="140" t="s">
        <v>104</v>
      </c>
      <c r="N148" s="140" t="s">
        <v>657</v>
      </c>
    </row>
    <row r="149" spans="1:14" ht="18.75" customHeight="1" x14ac:dyDescent="0.25">
      <c r="A149" s="139">
        <v>15</v>
      </c>
      <c r="B149" s="140" t="s">
        <v>198</v>
      </c>
      <c r="C149" s="140" t="s">
        <v>199</v>
      </c>
      <c r="D149" s="140" t="s">
        <v>200</v>
      </c>
      <c r="E149" s="143" t="s">
        <v>104</v>
      </c>
      <c r="F149" s="140"/>
      <c r="G149" s="140" t="s">
        <v>418</v>
      </c>
      <c r="H149" s="140" t="s">
        <v>419</v>
      </c>
      <c r="I149" s="140" t="s">
        <v>421</v>
      </c>
      <c r="J149" s="217">
        <v>12</v>
      </c>
      <c r="K149" s="140" t="s">
        <v>480</v>
      </c>
      <c r="L149" s="140" t="s">
        <v>658</v>
      </c>
      <c r="M149" s="140" t="s">
        <v>412</v>
      </c>
      <c r="N149" s="140" t="s">
        <v>659</v>
      </c>
    </row>
    <row r="150" spans="1:14" ht="18.75" customHeight="1" x14ac:dyDescent="0.25">
      <c r="A150" s="139">
        <v>16</v>
      </c>
      <c r="B150" s="140" t="s">
        <v>198</v>
      </c>
      <c r="C150" s="140" t="s">
        <v>199</v>
      </c>
      <c r="D150" s="140" t="s">
        <v>200</v>
      </c>
      <c r="E150" s="143" t="s">
        <v>104</v>
      </c>
      <c r="F150" s="140"/>
      <c r="G150" s="140" t="s">
        <v>423</v>
      </c>
      <c r="H150" s="140" t="s">
        <v>424</v>
      </c>
      <c r="I150" s="140" t="s">
        <v>425</v>
      </c>
      <c r="J150" s="217">
        <v>3</v>
      </c>
      <c r="K150" s="140" t="s">
        <v>36</v>
      </c>
      <c r="L150" s="140" t="s">
        <v>666</v>
      </c>
      <c r="M150" s="140" t="s">
        <v>104</v>
      </c>
      <c r="N150" s="140" t="s">
        <v>657</v>
      </c>
    </row>
    <row r="151" spans="1:14" ht="18.75" customHeight="1" x14ac:dyDescent="0.25">
      <c r="A151" s="139">
        <v>17</v>
      </c>
      <c r="B151" s="140" t="s">
        <v>198</v>
      </c>
      <c r="C151" s="140" t="s">
        <v>199</v>
      </c>
      <c r="D151" s="140" t="s">
        <v>200</v>
      </c>
      <c r="E151" s="143" t="s">
        <v>104</v>
      </c>
      <c r="F151" s="140"/>
      <c r="G151" s="140" t="s">
        <v>427</v>
      </c>
      <c r="H151" s="140" t="s">
        <v>428</v>
      </c>
      <c r="I151" s="140" t="s">
        <v>429</v>
      </c>
      <c r="J151" s="217">
        <v>15</v>
      </c>
      <c r="K151" s="140" t="s">
        <v>480</v>
      </c>
      <c r="L151" s="140" t="s">
        <v>658</v>
      </c>
      <c r="M151" s="140" t="s">
        <v>412</v>
      </c>
      <c r="N151" s="140" t="s">
        <v>659</v>
      </c>
    </row>
    <row r="152" spans="1:14" ht="18.75" customHeight="1" x14ac:dyDescent="0.25">
      <c r="A152" s="139">
        <v>18</v>
      </c>
      <c r="B152" s="140" t="s">
        <v>198</v>
      </c>
      <c r="C152" s="140" t="s">
        <v>199</v>
      </c>
      <c r="D152" s="140" t="s">
        <v>200</v>
      </c>
      <c r="E152" s="143" t="s">
        <v>104</v>
      </c>
      <c r="F152" s="140"/>
      <c r="G152" s="140" t="s">
        <v>431</v>
      </c>
      <c r="H152" s="140" t="s">
        <v>432</v>
      </c>
      <c r="I152" s="140" t="s">
        <v>360</v>
      </c>
      <c r="J152" s="217">
        <v>13</v>
      </c>
      <c r="K152" s="140" t="s">
        <v>36</v>
      </c>
      <c r="L152" s="140" t="s">
        <v>667</v>
      </c>
      <c r="M152" s="140" t="s">
        <v>104</v>
      </c>
      <c r="N152" s="140" t="s">
        <v>657</v>
      </c>
    </row>
    <row r="153" spans="1:14" ht="18.75" customHeight="1" x14ac:dyDescent="0.25">
      <c r="A153" s="139">
        <v>19</v>
      </c>
      <c r="B153" s="140" t="s">
        <v>198</v>
      </c>
      <c r="C153" s="140" t="s">
        <v>199</v>
      </c>
      <c r="D153" s="140" t="s">
        <v>200</v>
      </c>
      <c r="E153" s="143" t="s">
        <v>104</v>
      </c>
      <c r="F153" s="140"/>
      <c r="G153" s="140" t="s">
        <v>434</v>
      </c>
      <c r="H153" s="140" t="s">
        <v>435</v>
      </c>
      <c r="I153" s="140" t="s">
        <v>436</v>
      </c>
      <c r="J153" s="217">
        <v>7</v>
      </c>
      <c r="K153" s="140" t="s">
        <v>480</v>
      </c>
      <c r="L153" s="140" t="s">
        <v>658</v>
      </c>
      <c r="M153" s="140" t="s">
        <v>412</v>
      </c>
      <c r="N153" s="140" t="s">
        <v>659</v>
      </c>
    </row>
    <row r="154" spans="1:14" ht="18.75" customHeight="1" x14ac:dyDescent="0.25">
      <c r="A154" s="139">
        <v>20</v>
      </c>
      <c r="B154" s="140" t="s">
        <v>198</v>
      </c>
      <c r="C154" s="140" t="s">
        <v>199</v>
      </c>
      <c r="D154" s="140" t="s">
        <v>200</v>
      </c>
      <c r="E154" s="143" t="s">
        <v>104</v>
      </c>
      <c r="F154" s="140"/>
      <c r="G154" s="140" t="s">
        <v>438</v>
      </c>
      <c r="H154" s="140" t="s">
        <v>439</v>
      </c>
      <c r="I154" s="140" t="s">
        <v>440</v>
      </c>
      <c r="J154" s="217">
        <v>12</v>
      </c>
      <c r="K154" s="140" t="s">
        <v>36</v>
      </c>
      <c r="L154" s="140" t="s">
        <v>668</v>
      </c>
      <c r="M154" s="140" t="s">
        <v>104</v>
      </c>
      <c r="N154" s="140" t="s">
        <v>657</v>
      </c>
    </row>
    <row r="155" spans="1:14" ht="18.75" customHeight="1" x14ac:dyDescent="0.25">
      <c r="A155" s="139">
        <v>21</v>
      </c>
      <c r="B155" s="140" t="s">
        <v>198</v>
      </c>
      <c r="C155" s="140" t="s">
        <v>199</v>
      </c>
      <c r="D155" s="140" t="s">
        <v>200</v>
      </c>
      <c r="E155" s="143" t="s">
        <v>104</v>
      </c>
      <c r="F155" s="140"/>
      <c r="G155" s="140" t="s">
        <v>442</v>
      </c>
      <c r="H155" s="140" t="s">
        <v>443</v>
      </c>
      <c r="I155" s="140" t="s">
        <v>381</v>
      </c>
      <c r="J155" s="217">
        <v>3</v>
      </c>
      <c r="K155" s="140" t="s">
        <v>480</v>
      </c>
      <c r="L155" s="140" t="s">
        <v>658</v>
      </c>
      <c r="M155" s="140" t="s">
        <v>412</v>
      </c>
      <c r="N155" s="140" t="s">
        <v>659</v>
      </c>
    </row>
    <row r="156" spans="1:14" ht="18.75" customHeight="1" x14ac:dyDescent="0.25">
      <c r="A156" s="139">
        <v>22</v>
      </c>
      <c r="B156" s="140" t="s">
        <v>198</v>
      </c>
      <c r="C156" s="140" t="s">
        <v>199</v>
      </c>
      <c r="D156" s="140" t="s">
        <v>200</v>
      </c>
      <c r="E156" s="143" t="s">
        <v>104</v>
      </c>
      <c r="F156" s="140"/>
      <c r="G156" s="140" t="s">
        <v>445</v>
      </c>
      <c r="H156" s="140" t="s">
        <v>446</v>
      </c>
      <c r="I156" s="140" t="s">
        <v>372</v>
      </c>
      <c r="J156" s="217">
        <v>15</v>
      </c>
      <c r="K156" s="140" t="s">
        <v>36</v>
      </c>
      <c r="L156" s="140" t="s">
        <v>669</v>
      </c>
      <c r="M156" s="140" t="s">
        <v>104</v>
      </c>
      <c r="N156" s="140" t="s">
        <v>657</v>
      </c>
    </row>
    <row r="157" spans="1:14" ht="18.75" customHeight="1" x14ac:dyDescent="0.25">
      <c r="A157" s="139">
        <v>23</v>
      </c>
      <c r="B157" s="140" t="s">
        <v>198</v>
      </c>
      <c r="C157" s="140" t="s">
        <v>199</v>
      </c>
      <c r="D157" s="140" t="s">
        <v>200</v>
      </c>
      <c r="E157" s="143" t="s">
        <v>104</v>
      </c>
      <c r="F157" s="140"/>
      <c r="G157" s="140" t="s">
        <v>449</v>
      </c>
      <c r="H157" s="140" t="s">
        <v>450</v>
      </c>
      <c r="I157" s="140" t="s">
        <v>451</v>
      </c>
      <c r="J157" s="217">
        <v>15</v>
      </c>
      <c r="K157" s="140" t="s">
        <v>36</v>
      </c>
      <c r="L157" s="140" t="s">
        <v>670</v>
      </c>
      <c r="M157" s="140" t="s">
        <v>104</v>
      </c>
      <c r="N157" s="140" t="s">
        <v>657</v>
      </c>
    </row>
    <row r="158" spans="1:14" ht="18.75" customHeight="1" x14ac:dyDescent="0.25">
      <c r="A158" s="139">
        <v>24</v>
      </c>
      <c r="B158" s="140" t="s">
        <v>198</v>
      </c>
      <c r="C158" s="140" t="s">
        <v>199</v>
      </c>
      <c r="D158" s="140" t="s">
        <v>200</v>
      </c>
      <c r="E158" s="143" t="s">
        <v>104</v>
      </c>
      <c r="F158" s="140"/>
      <c r="G158" s="140" t="s">
        <v>453</v>
      </c>
      <c r="H158" s="140" t="s">
        <v>454</v>
      </c>
      <c r="I158" s="140" t="s">
        <v>455</v>
      </c>
      <c r="J158" s="217">
        <v>5</v>
      </c>
      <c r="K158" s="140" t="s">
        <v>480</v>
      </c>
      <c r="L158" s="140" t="s">
        <v>658</v>
      </c>
      <c r="M158" s="140" t="s">
        <v>412</v>
      </c>
      <c r="N158" s="140" t="s">
        <v>659</v>
      </c>
    </row>
    <row r="159" spans="1:14" ht="18.75" customHeight="1" x14ac:dyDescent="0.25">
      <c r="A159" s="139">
        <v>25</v>
      </c>
      <c r="B159" s="140" t="s">
        <v>198</v>
      </c>
      <c r="C159" s="140" t="s">
        <v>199</v>
      </c>
      <c r="D159" s="140" t="s">
        <v>200</v>
      </c>
      <c r="E159" s="143" t="s">
        <v>104</v>
      </c>
      <c r="F159" s="140"/>
      <c r="G159" s="140" t="s">
        <v>457</v>
      </c>
      <c r="H159" s="140" t="s">
        <v>458</v>
      </c>
      <c r="I159" s="140" t="s">
        <v>459</v>
      </c>
      <c r="J159" s="217">
        <v>10</v>
      </c>
      <c r="K159" s="140" t="s">
        <v>36</v>
      </c>
      <c r="L159" s="140" t="s">
        <v>671</v>
      </c>
      <c r="M159" s="140" t="s">
        <v>104</v>
      </c>
      <c r="N159" s="140" t="s">
        <v>657</v>
      </c>
    </row>
    <row r="160" spans="1:14" ht="18.75" customHeight="1" x14ac:dyDescent="0.25">
      <c r="A160" s="139" t="s">
        <v>740</v>
      </c>
      <c r="B160" s="140" t="s">
        <v>198</v>
      </c>
      <c r="C160" s="140" t="s">
        <v>199</v>
      </c>
      <c r="D160" s="140" t="s">
        <v>200</v>
      </c>
      <c r="E160" s="143" t="s">
        <v>104</v>
      </c>
      <c r="F160" s="140"/>
      <c r="G160" s="140" t="s">
        <v>682</v>
      </c>
      <c r="H160" s="140" t="s">
        <v>443</v>
      </c>
      <c r="I160" s="140" t="s">
        <v>389</v>
      </c>
      <c r="J160" s="217">
        <v>11</v>
      </c>
      <c r="K160" s="140"/>
      <c r="L160" s="140"/>
      <c r="M160" s="140"/>
      <c r="N160" s="140"/>
    </row>
    <row r="161" spans="1:14" ht="18.75" customHeight="1" x14ac:dyDescent="0.25">
      <c r="A161" s="139">
        <v>1</v>
      </c>
      <c r="B161" s="140" t="s">
        <v>201</v>
      </c>
      <c r="C161" s="140" t="s">
        <v>199</v>
      </c>
      <c r="D161" s="140" t="s">
        <v>202</v>
      </c>
      <c r="E161" s="143" t="s">
        <v>104</v>
      </c>
      <c r="F161" s="140"/>
      <c r="G161" s="140" t="s">
        <v>353</v>
      </c>
      <c r="H161" s="140" t="s">
        <v>354</v>
      </c>
      <c r="I161" s="140" t="s">
        <v>360</v>
      </c>
      <c r="J161" s="217">
        <v>13</v>
      </c>
      <c r="K161" s="140" t="s">
        <v>36</v>
      </c>
      <c r="L161" s="140" t="s">
        <v>656</v>
      </c>
      <c r="M161" s="140" t="s">
        <v>104</v>
      </c>
      <c r="N161" s="140" t="s">
        <v>657</v>
      </c>
    </row>
    <row r="162" spans="1:14" ht="18.75" customHeight="1" x14ac:dyDescent="0.25">
      <c r="A162" s="139">
        <v>2</v>
      </c>
      <c r="B162" s="140" t="s">
        <v>201</v>
      </c>
      <c r="C162" s="140" t="s">
        <v>199</v>
      </c>
      <c r="D162" s="140" t="s">
        <v>202</v>
      </c>
      <c r="E162" s="143" t="s">
        <v>104</v>
      </c>
      <c r="F162" s="140"/>
      <c r="G162" s="140" t="s">
        <v>363</v>
      </c>
      <c r="H162" s="140" t="s">
        <v>364</v>
      </c>
      <c r="I162" s="140" t="s">
        <v>367</v>
      </c>
      <c r="J162" s="217">
        <v>10</v>
      </c>
      <c r="K162" s="140" t="s">
        <v>480</v>
      </c>
      <c r="L162" s="140" t="s">
        <v>658</v>
      </c>
      <c r="M162" s="140" t="s">
        <v>412</v>
      </c>
      <c r="N162" s="140" t="s">
        <v>659</v>
      </c>
    </row>
    <row r="163" spans="1:14" ht="18.75" customHeight="1" x14ac:dyDescent="0.25">
      <c r="A163" s="139">
        <v>3</v>
      </c>
      <c r="B163" s="140" t="s">
        <v>201</v>
      </c>
      <c r="C163" s="140" t="s">
        <v>199</v>
      </c>
      <c r="D163" s="140" t="s">
        <v>202</v>
      </c>
      <c r="E163" s="143" t="s">
        <v>104</v>
      </c>
      <c r="F163" s="140"/>
      <c r="G163" s="140" t="s">
        <v>369</v>
      </c>
      <c r="H163" s="140" t="s">
        <v>370</v>
      </c>
      <c r="I163" s="140" t="s">
        <v>372</v>
      </c>
      <c r="J163" s="217">
        <v>7</v>
      </c>
      <c r="K163" s="140" t="s">
        <v>480</v>
      </c>
      <c r="L163" s="140" t="s">
        <v>658</v>
      </c>
      <c r="M163" s="140" t="s">
        <v>412</v>
      </c>
      <c r="N163" s="140" t="s">
        <v>659</v>
      </c>
    </row>
    <row r="164" spans="1:14" ht="18.75" customHeight="1" x14ac:dyDescent="0.25">
      <c r="A164" s="139">
        <v>4</v>
      </c>
      <c r="B164" s="140" t="s">
        <v>201</v>
      </c>
      <c r="C164" s="140" t="s">
        <v>199</v>
      </c>
      <c r="D164" s="140" t="s">
        <v>202</v>
      </c>
      <c r="E164" s="143" t="s">
        <v>104</v>
      </c>
      <c r="F164" s="140"/>
      <c r="G164" s="140" t="s">
        <v>374</v>
      </c>
      <c r="H164" s="140" t="s">
        <v>375</v>
      </c>
      <c r="I164" s="140" t="s">
        <v>377</v>
      </c>
      <c r="J164" s="217">
        <v>5</v>
      </c>
      <c r="K164" s="140" t="s">
        <v>36</v>
      </c>
      <c r="L164" s="140" t="s">
        <v>660</v>
      </c>
      <c r="M164" s="140" t="s">
        <v>104</v>
      </c>
      <c r="N164" s="140" t="s">
        <v>657</v>
      </c>
    </row>
    <row r="165" spans="1:14" ht="4.5" customHeight="1" x14ac:dyDescent="0.25">
      <c r="A165" s="105">
        <v>5</v>
      </c>
      <c r="B165" s="105" t="s">
        <v>201</v>
      </c>
      <c r="C165" s="105" t="s">
        <v>199</v>
      </c>
      <c r="D165" s="105" t="s">
        <v>202</v>
      </c>
      <c r="E165" s="105" t="s">
        <v>104</v>
      </c>
      <c r="F165" s="105"/>
      <c r="G165" s="105" t="s">
        <v>379</v>
      </c>
      <c r="H165" s="105" t="s">
        <v>380</v>
      </c>
      <c r="I165" s="105" t="s">
        <v>381</v>
      </c>
      <c r="J165" s="201">
        <v>12</v>
      </c>
      <c r="K165" s="105" t="s">
        <v>480</v>
      </c>
      <c r="L165" s="105" t="s">
        <v>658</v>
      </c>
      <c r="M165" s="105" t="s">
        <v>412</v>
      </c>
      <c r="N165" s="105" t="s">
        <v>659</v>
      </c>
    </row>
    <row r="166" spans="1:14" ht="19.5" customHeight="1" x14ac:dyDescent="0.25">
      <c r="A166" s="276" t="s">
        <v>740</v>
      </c>
      <c r="B166" s="260"/>
      <c r="C166" s="260"/>
      <c r="D166" s="260"/>
      <c r="E166" s="260"/>
      <c r="F166" s="260"/>
      <c r="G166" s="260"/>
      <c r="H166" s="260"/>
      <c r="I166" s="260"/>
      <c r="J166" s="260"/>
      <c r="K166" s="260"/>
      <c r="L166" s="260"/>
      <c r="M166" s="260"/>
      <c r="N166" s="261"/>
    </row>
    <row r="167" spans="1:14" ht="18.75" customHeight="1" x14ac:dyDescent="0.25">
      <c r="A167" s="34">
        <v>7</v>
      </c>
      <c r="B167" s="35" t="s">
        <v>201</v>
      </c>
      <c r="C167" s="35" t="s">
        <v>199</v>
      </c>
      <c r="D167" s="35" t="s">
        <v>202</v>
      </c>
      <c r="E167" s="101" t="s">
        <v>104</v>
      </c>
      <c r="F167" s="35"/>
      <c r="G167" s="35" t="s">
        <v>387</v>
      </c>
      <c r="H167" s="35" t="s">
        <v>388</v>
      </c>
      <c r="I167" s="35" t="s">
        <v>389</v>
      </c>
      <c r="J167" s="198">
        <v>9</v>
      </c>
      <c r="K167" s="35" t="s">
        <v>480</v>
      </c>
      <c r="L167" s="35" t="s">
        <v>658</v>
      </c>
      <c r="M167" s="35" t="s">
        <v>412</v>
      </c>
      <c r="N167" s="35" t="s">
        <v>659</v>
      </c>
    </row>
    <row r="168" spans="1:14" ht="18.75" customHeight="1" x14ac:dyDescent="0.25">
      <c r="A168" s="136">
        <v>8</v>
      </c>
      <c r="B168" s="137" t="s">
        <v>201</v>
      </c>
      <c r="C168" s="137" t="s">
        <v>199</v>
      </c>
      <c r="D168" s="137" t="s">
        <v>202</v>
      </c>
      <c r="E168" s="138" t="s">
        <v>104</v>
      </c>
      <c r="F168" s="137"/>
      <c r="G168" s="137" t="s">
        <v>391</v>
      </c>
      <c r="H168" s="137" t="s">
        <v>392</v>
      </c>
      <c r="I168" s="137" t="s">
        <v>393</v>
      </c>
      <c r="J168" s="216">
        <v>13</v>
      </c>
      <c r="K168" s="137" t="s">
        <v>480</v>
      </c>
      <c r="L168" s="137" t="s">
        <v>658</v>
      </c>
      <c r="M168" s="137" t="s">
        <v>412</v>
      </c>
      <c r="N168" s="137" t="s">
        <v>659</v>
      </c>
    </row>
    <row r="169" spans="1:14" ht="18.75" customHeight="1" x14ac:dyDescent="0.25">
      <c r="A169" s="136">
        <v>9</v>
      </c>
      <c r="B169" s="137" t="s">
        <v>201</v>
      </c>
      <c r="C169" s="137" t="s">
        <v>199</v>
      </c>
      <c r="D169" s="137" t="s">
        <v>202</v>
      </c>
      <c r="E169" s="138" t="s">
        <v>104</v>
      </c>
      <c r="F169" s="137"/>
      <c r="G169" s="137" t="s">
        <v>395</v>
      </c>
      <c r="H169" s="137" t="s">
        <v>396</v>
      </c>
      <c r="I169" s="137" t="s">
        <v>360</v>
      </c>
      <c r="J169" s="216">
        <v>10</v>
      </c>
      <c r="K169" s="137" t="s">
        <v>36</v>
      </c>
      <c r="L169" s="137" t="s">
        <v>662</v>
      </c>
      <c r="M169" s="137" t="s">
        <v>104</v>
      </c>
      <c r="N169" s="137" t="s">
        <v>657</v>
      </c>
    </row>
    <row r="170" spans="1:14" ht="18.75" customHeight="1" x14ac:dyDescent="0.25">
      <c r="A170" s="136">
        <v>10</v>
      </c>
      <c r="B170" s="137" t="s">
        <v>201</v>
      </c>
      <c r="C170" s="137" t="s">
        <v>199</v>
      </c>
      <c r="D170" s="137" t="s">
        <v>202</v>
      </c>
      <c r="E170" s="138" t="s">
        <v>104</v>
      </c>
      <c r="F170" s="137"/>
      <c r="G170" s="137" t="s">
        <v>399</v>
      </c>
      <c r="H170" s="137" t="s">
        <v>400</v>
      </c>
      <c r="I170" s="137" t="s">
        <v>372</v>
      </c>
      <c r="J170" s="216">
        <v>4</v>
      </c>
      <c r="K170" s="137" t="s">
        <v>480</v>
      </c>
      <c r="L170" s="137" t="s">
        <v>658</v>
      </c>
      <c r="M170" s="137" t="s">
        <v>412</v>
      </c>
      <c r="N170" s="137" t="s">
        <v>659</v>
      </c>
    </row>
    <row r="171" spans="1:14" ht="18.75" customHeight="1" x14ac:dyDescent="0.25">
      <c r="A171" s="136">
        <v>11</v>
      </c>
      <c r="B171" s="137" t="s">
        <v>201</v>
      </c>
      <c r="C171" s="137" t="s">
        <v>199</v>
      </c>
      <c r="D171" s="137" t="s">
        <v>202</v>
      </c>
      <c r="E171" s="138" t="s">
        <v>104</v>
      </c>
      <c r="F171" s="137"/>
      <c r="G171" s="137" t="s">
        <v>402</v>
      </c>
      <c r="H171" s="137" t="s">
        <v>403</v>
      </c>
      <c r="I171" s="137" t="s">
        <v>404</v>
      </c>
      <c r="J171" s="216">
        <v>10</v>
      </c>
      <c r="K171" s="137" t="s">
        <v>36</v>
      </c>
      <c r="L171" s="137" t="s">
        <v>663</v>
      </c>
      <c r="M171" s="137" t="s">
        <v>104</v>
      </c>
      <c r="N171" s="137" t="s">
        <v>657</v>
      </c>
    </row>
    <row r="172" spans="1:14" ht="18.75" customHeight="1" x14ac:dyDescent="0.25">
      <c r="A172" s="136">
        <v>12</v>
      </c>
      <c r="B172" s="137" t="s">
        <v>201</v>
      </c>
      <c r="C172" s="137" t="s">
        <v>199</v>
      </c>
      <c r="D172" s="137" t="s">
        <v>202</v>
      </c>
      <c r="E172" s="138" t="s">
        <v>104</v>
      </c>
      <c r="F172" s="137"/>
      <c r="G172" s="137" t="s">
        <v>406</v>
      </c>
      <c r="H172" s="137" t="s">
        <v>407</v>
      </c>
      <c r="I172" s="137" t="s">
        <v>367</v>
      </c>
      <c r="J172" s="216">
        <v>8</v>
      </c>
      <c r="K172" s="137" t="s">
        <v>480</v>
      </c>
      <c r="L172" s="137" t="s">
        <v>658</v>
      </c>
      <c r="M172" s="137" t="s">
        <v>412</v>
      </c>
      <c r="N172" s="137" t="s">
        <v>659</v>
      </c>
    </row>
    <row r="173" spans="1:14" ht="18.75" customHeight="1" x14ac:dyDescent="0.25">
      <c r="A173" s="136">
        <v>13</v>
      </c>
      <c r="B173" s="137" t="s">
        <v>201</v>
      </c>
      <c r="C173" s="137" t="s">
        <v>199</v>
      </c>
      <c r="D173" s="137" t="s">
        <v>202</v>
      </c>
      <c r="E173" s="138" t="s">
        <v>104</v>
      </c>
      <c r="F173" s="137"/>
      <c r="G173" s="137" t="s">
        <v>409</v>
      </c>
      <c r="H173" s="137" t="s">
        <v>410</v>
      </c>
      <c r="I173" s="137" t="s">
        <v>360</v>
      </c>
      <c r="J173" s="216">
        <v>9</v>
      </c>
      <c r="K173" s="137" t="s">
        <v>36</v>
      </c>
      <c r="L173" s="137" t="s">
        <v>664</v>
      </c>
      <c r="M173" s="137" t="s">
        <v>104</v>
      </c>
      <c r="N173" s="137" t="s">
        <v>657</v>
      </c>
    </row>
    <row r="174" spans="1:14" ht="18.75" customHeight="1" x14ac:dyDescent="0.25">
      <c r="A174" s="136">
        <v>14</v>
      </c>
      <c r="B174" s="137" t="s">
        <v>201</v>
      </c>
      <c r="C174" s="137" t="s">
        <v>199</v>
      </c>
      <c r="D174" s="137" t="s">
        <v>202</v>
      </c>
      <c r="E174" s="138" t="s">
        <v>104</v>
      </c>
      <c r="F174" s="137"/>
      <c r="G174" s="137" t="s">
        <v>415</v>
      </c>
      <c r="H174" s="137" t="s">
        <v>416</v>
      </c>
      <c r="I174" s="137" t="s">
        <v>385</v>
      </c>
      <c r="J174" s="216">
        <v>8</v>
      </c>
      <c r="K174" s="137" t="s">
        <v>36</v>
      </c>
      <c r="L174" s="137" t="s">
        <v>665</v>
      </c>
      <c r="M174" s="137" t="s">
        <v>104</v>
      </c>
      <c r="N174" s="137" t="s">
        <v>657</v>
      </c>
    </row>
    <row r="175" spans="1:14" ht="18.75" customHeight="1" x14ac:dyDescent="0.25">
      <c r="A175" s="136">
        <v>15</v>
      </c>
      <c r="B175" s="137" t="s">
        <v>201</v>
      </c>
      <c r="C175" s="137" t="s">
        <v>199</v>
      </c>
      <c r="D175" s="137" t="s">
        <v>202</v>
      </c>
      <c r="E175" s="138" t="s">
        <v>104</v>
      </c>
      <c r="F175" s="137"/>
      <c r="G175" s="137" t="s">
        <v>418</v>
      </c>
      <c r="H175" s="137" t="s">
        <v>419</v>
      </c>
      <c r="I175" s="137" t="s">
        <v>421</v>
      </c>
      <c r="J175" s="216">
        <v>8</v>
      </c>
      <c r="K175" s="137" t="s">
        <v>480</v>
      </c>
      <c r="L175" s="137" t="s">
        <v>658</v>
      </c>
      <c r="M175" s="137" t="s">
        <v>412</v>
      </c>
      <c r="N175" s="137" t="s">
        <v>659</v>
      </c>
    </row>
    <row r="176" spans="1:14" ht="18.75" customHeight="1" x14ac:dyDescent="0.25">
      <c r="A176" s="136">
        <v>16</v>
      </c>
      <c r="B176" s="137" t="s">
        <v>201</v>
      </c>
      <c r="C176" s="137" t="s">
        <v>199</v>
      </c>
      <c r="D176" s="137" t="s">
        <v>202</v>
      </c>
      <c r="E176" s="138" t="s">
        <v>104</v>
      </c>
      <c r="F176" s="137"/>
      <c r="G176" s="137" t="s">
        <v>423</v>
      </c>
      <c r="H176" s="137" t="s">
        <v>424</v>
      </c>
      <c r="I176" s="137" t="s">
        <v>425</v>
      </c>
      <c r="J176" s="216">
        <v>13</v>
      </c>
      <c r="K176" s="137" t="s">
        <v>36</v>
      </c>
      <c r="L176" s="137" t="s">
        <v>666</v>
      </c>
      <c r="M176" s="137" t="s">
        <v>104</v>
      </c>
      <c r="N176" s="137" t="s">
        <v>657</v>
      </c>
    </row>
    <row r="177" spans="1:14" ht="18.75" customHeight="1" x14ac:dyDescent="0.25">
      <c r="A177" s="136">
        <v>17</v>
      </c>
      <c r="B177" s="137" t="s">
        <v>201</v>
      </c>
      <c r="C177" s="137" t="s">
        <v>199</v>
      </c>
      <c r="D177" s="137" t="s">
        <v>202</v>
      </c>
      <c r="E177" s="138" t="s">
        <v>104</v>
      </c>
      <c r="F177" s="137"/>
      <c r="G177" s="137" t="s">
        <v>427</v>
      </c>
      <c r="H177" s="137" t="s">
        <v>428</v>
      </c>
      <c r="I177" s="137" t="s">
        <v>429</v>
      </c>
      <c r="J177" s="216">
        <v>4</v>
      </c>
      <c r="K177" s="137" t="s">
        <v>480</v>
      </c>
      <c r="L177" s="137" t="s">
        <v>658</v>
      </c>
      <c r="M177" s="137" t="s">
        <v>412</v>
      </c>
      <c r="N177" s="137" t="s">
        <v>659</v>
      </c>
    </row>
    <row r="178" spans="1:14" ht="18.75" customHeight="1" x14ac:dyDescent="0.25">
      <c r="A178" s="136">
        <v>18</v>
      </c>
      <c r="B178" s="137" t="s">
        <v>201</v>
      </c>
      <c r="C178" s="137" t="s">
        <v>199</v>
      </c>
      <c r="D178" s="137" t="s">
        <v>202</v>
      </c>
      <c r="E178" s="138" t="s">
        <v>104</v>
      </c>
      <c r="F178" s="137"/>
      <c r="G178" s="137" t="s">
        <v>431</v>
      </c>
      <c r="H178" s="137" t="s">
        <v>432</v>
      </c>
      <c r="I178" s="137" t="s">
        <v>360</v>
      </c>
      <c r="J178" s="216">
        <v>5</v>
      </c>
      <c r="K178" s="137" t="s">
        <v>36</v>
      </c>
      <c r="L178" s="137" t="s">
        <v>667</v>
      </c>
      <c r="M178" s="137" t="s">
        <v>104</v>
      </c>
      <c r="N178" s="137" t="s">
        <v>657</v>
      </c>
    </row>
    <row r="179" spans="1:14" ht="18.75" customHeight="1" x14ac:dyDescent="0.25">
      <c r="A179" s="136">
        <v>19</v>
      </c>
      <c r="B179" s="137" t="s">
        <v>201</v>
      </c>
      <c r="C179" s="137" t="s">
        <v>199</v>
      </c>
      <c r="D179" s="137" t="s">
        <v>202</v>
      </c>
      <c r="E179" s="138" t="s">
        <v>104</v>
      </c>
      <c r="F179" s="137"/>
      <c r="G179" s="137" t="s">
        <v>434</v>
      </c>
      <c r="H179" s="137" t="s">
        <v>435</v>
      </c>
      <c r="I179" s="137" t="s">
        <v>436</v>
      </c>
      <c r="J179" s="216">
        <v>8</v>
      </c>
      <c r="K179" s="137" t="s">
        <v>480</v>
      </c>
      <c r="L179" s="137" t="s">
        <v>658</v>
      </c>
      <c r="M179" s="137" t="s">
        <v>412</v>
      </c>
      <c r="N179" s="137" t="s">
        <v>659</v>
      </c>
    </row>
    <row r="180" spans="1:14" ht="18.75" customHeight="1" x14ac:dyDescent="0.25">
      <c r="A180" s="136">
        <v>20</v>
      </c>
      <c r="B180" s="137" t="s">
        <v>201</v>
      </c>
      <c r="C180" s="137" t="s">
        <v>199</v>
      </c>
      <c r="D180" s="137" t="s">
        <v>202</v>
      </c>
      <c r="E180" s="138" t="s">
        <v>104</v>
      </c>
      <c r="F180" s="137"/>
      <c r="G180" s="137" t="s">
        <v>438</v>
      </c>
      <c r="H180" s="137" t="s">
        <v>439</v>
      </c>
      <c r="I180" s="137" t="s">
        <v>440</v>
      </c>
      <c r="J180" s="216">
        <v>9</v>
      </c>
      <c r="K180" s="137" t="s">
        <v>36</v>
      </c>
      <c r="L180" s="137" t="s">
        <v>668</v>
      </c>
      <c r="M180" s="137" t="s">
        <v>104</v>
      </c>
      <c r="N180" s="137" t="s">
        <v>657</v>
      </c>
    </row>
    <row r="181" spans="1:14" ht="18.75" customHeight="1" x14ac:dyDescent="0.25">
      <c r="A181" s="136">
        <v>21</v>
      </c>
      <c r="B181" s="137" t="s">
        <v>201</v>
      </c>
      <c r="C181" s="137" t="s">
        <v>199</v>
      </c>
      <c r="D181" s="137" t="s">
        <v>202</v>
      </c>
      <c r="E181" s="138" t="s">
        <v>104</v>
      </c>
      <c r="F181" s="137"/>
      <c r="G181" s="137" t="s">
        <v>442</v>
      </c>
      <c r="H181" s="137" t="s">
        <v>443</v>
      </c>
      <c r="I181" s="137" t="s">
        <v>381</v>
      </c>
      <c r="J181" s="216">
        <v>14</v>
      </c>
      <c r="K181" s="137" t="s">
        <v>480</v>
      </c>
      <c r="L181" s="137" t="s">
        <v>658</v>
      </c>
      <c r="M181" s="137" t="s">
        <v>412</v>
      </c>
      <c r="N181" s="137" t="s">
        <v>659</v>
      </c>
    </row>
    <row r="182" spans="1:14" ht="18.75" customHeight="1" x14ac:dyDescent="0.25">
      <c r="A182" s="136">
        <v>22</v>
      </c>
      <c r="B182" s="137" t="s">
        <v>201</v>
      </c>
      <c r="C182" s="137" t="s">
        <v>199</v>
      </c>
      <c r="D182" s="137" t="s">
        <v>202</v>
      </c>
      <c r="E182" s="138" t="s">
        <v>104</v>
      </c>
      <c r="F182" s="137"/>
      <c r="G182" s="137" t="s">
        <v>445</v>
      </c>
      <c r="H182" s="137" t="s">
        <v>446</v>
      </c>
      <c r="I182" s="137" t="s">
        <v>372</v>
      </c>
      <c r="J182" s="216">
        <v>10</v>
      </c>
      <c r="K182" s="137" t="s">
        <v>36</v>
      </c>
      <c r="L182" s="137" t="s">
        <v>669</v>
      </c>
      <c r="M182" s="137" t="s">
        <v>104</v>
      </c>
      <c r="N182" s="137" t="s">
        <v>657</v>
      </c>
    </row>
    <row r="183" spans="1:14" ht="18.75" customHeight="1" x14ac:dyDescent="0.25">
      <c r="A183" s="136">
        <v>23</v>
      </c>
      <c r="B183" s="137" t="s">
        <v>201</v>
      </c>
      <c r="C183" s="137" t="s">
        <v>199</v>
      </c>
      <c r="D183" s="137" t="s">
        <v>202</v>
      </c>
      <c r="E183" s="138" t="s">
        <v>104</v>
      </c>
      <c r="F183" s="137"/>
      <c r="G183" s="137" t="s">
        <v>449</v>
      </c>
      <c r="H183" s="137" t="s">
        <v>450</v>
      </c>
      <c r="I183" s="137" t="s">
        <v>451</v>
      </c>
      <c r="J183" s="216">
        <v>7</v>
      </c>
      <c r="K183" s="137" t="s">
        <v>36</v>
      </c>
      <c r="L183" s="137" t="s">
        <v>670</v>
      </c>
      <c r="M183" s="137" t="s">
        <v>104</v>
      </c>
      <c r="N183" s="137" t="s">
        <v>657</v>
      </c>
    </row>
    <row r="184" spans="1:14" ht="18.75" customHeight="1" x14ac:dyDescent="0.25">
      <c r="A184" s="136">
        <v>24</v>
      </c>
      <c r="B184" s="137" t="s">
        <v>201</v>
      </c>
      <c r="C184" s="137" t="s">
        <v>199</v>
      </c>
      <c r="D184" s="137" t="s">
        <v>202</v>
      </c>
      <c r="E184" s="138" t="s">
        <v>104</v>
      </c>
      <c r="F184" s="137"/>
      <c r="G184" s="137" t="s">
        <v>453</v>
      </c>
      <c r="H184" s="137" t="s">
        <v>454</v>
      </c>
      <c r="I184" s="137" t="s">
        <v>455</v>
      </c>
      <c r="J184" s="216">
        <v>13</v>
      </c>
      <c r="K184" s="137" t="s">
        <v>480</v>
      </c>
      <c r="L184" s="137" t="s">
        <v>658</v>
      </c>
      <c r="M184" s="137" t="s">
        <v>412</v>
      </c>
      <c r="N184" s="137" t="s">
        <v>659</v>
      </c>
    </row>
    <row r="185" spans="1:14" ht="18.75" customHeight="1" x14ac:dyDescent="0.25">
      <c r="A185" s="136">
        <v>25</v>
      </c>
      <c r="B185" s="137" t="s">
        <v>201</v>
      </c>
      <c r="C185" s="137" t="s">
        <v>199</v>
      </c>
      <c r="D185" s="137" t="s">
        <v>202</v>
      </c>
      <c r="E185" s="138" t="s">
        <v>104</v>
      </c>
      <c r="F185" s="137"/>
      <c r="G185" s="137" t="s">
        <v>457</v>
      </c>
      <c r="H185" s="137" t="s">
        <v>458</v>
      </c>
      <c r="I185" s="137" t="s">
        <v>459</v>
      </c>
      <c r="J185" s="216">
        <v>9</v>
      </c>
      <c r="K185" s="137" t="s">
        <v>36</v>
      </c>
      <c r="L185" s="137" t="s">
        <v>671</v>
      </c>
      <c r="M185" s="137" t="s">
        <v>104</v>
      </c>
      <c r="N185" s="137" t="s">
        <v>657</v>
      </c>
    </row>
    <row r="186" spans="1:14" ht="18.75" customHeight="1" x14ac:dyDescent="0.25">
      <c r="A186" s="136" t="s">
        <v>741</v>
      </c>
      <c r="B186" s="137" t="s">
        <v>201</v>
      </c>
      <c r="C186" s="137" t="s">
        <v>199</v>
      </c>
      <c r="D186" s="137" t="s">
        <v>202</v>
      </c>
      <c r="E186" s="138" t="s">
        <v>104</v>
      </c>
      <c r="F186" s="137"/>
      <c r="G186" s="137" t="s">
        <v>684</v>
      </c>
      <c r="H186" s="137" t="s">
        <v>439</v>
      </c>
      <c r="I186" s="137" t="s">
        <v>440</v>
      </c>
      <c r="J186" s="216">
        <v>15</v>
      </c>
      <c r="K186" s="137"/>
      <c r="L186" s="137"/>
      <c r="M186" s="137"/>
      <c r="N186" s="137"/>
    </row>
    <row r="187" spans="1:14" ht="18.75" customHeight="1" x14ac:dyDescent="0.25">
      <c r="A187" s="136">
        <v>1</v>
      </c>
      <c r="B187" s="137" t="s">
        <v>203</v>
      </c>
      <c r="C187" s="137" t="s">
        <v>204</v>
      </c>
      <c r="D187" s="137" t="s">
        <v>205</v>
      </c>
      <c r="E187" s="138" t="s">
        <v>121</v>
      </c>
      <c r="F187" s="137"/>
      <c r="G187" s="137" t="s">
        <v>353</v>
      </c>
      <c r="H187" s="137" t="s">
        <v>354</v>
      </c>
      <c r="I187" s="137" t="s">
        <v>360</v>
      </c>
      <c r="J187" s="216">
        <v>11</v>
      </c>
      <c r="K187" s="137" t="s">
        <v>36</v>
      </c>
      <c r="L187" s="137" t="s">
        <v>656</v>
      </c>
      <c r="M187" s="137" t="s">
        <v>121</v>
      </c>
      <c r="N187" s="137" t="s">
        <v>657</v>
      </c>
    </row>
    <row r="188" spans="1:14" ht="18.75" customHeight="1" x14ac:dyDescent="0.25">
      <c r="A188" s="136">
        <v>2</v>
      </c>
      <c r="B188" s="137" t="s">
        <v>203</v>
      </c>
      <c r="C188" s="137" t="s">
        <v>204</v>
      </c>
      <c r="D188" s="137" t="s">
        <v>205</v>
      </c>
      <c r="E188" s="138" t="s">
        <v>121</v>
      </c>
      <c r="F188" s="137"/>
      <c r="G188" s="137" t="s">
        <v>363</v>
      </c>
      <c r="H188" s="137" t="s">
        <v>364</v>
      </c>
      <c r="I188" s="137" t="s">
        <v>367</v>
      </c>
      <c r="J188" s="216">
        <v>3</v>
      </c>
      <c r="K188" s="137" t="s">
        <v>480</v>
      </c>
      <c r="L188" s="137" t="s">
        <v>658</v>
      </c>
      <c r="M188" s="137" t="s">
        <v>412</v>
      </c>
      <c r="N188" s="137" t="s">
        <v>659</v>
      </c>
    </row>
    <row r="189" spans="1:14" ht="18.75" customHeight="1" x14ac:dyDescent="0.25">
      <c r="A189" s="136">
        <v>3</v>
      </c>
      <c r="B189" s="137" t="s">
        <v>203</v>
      </c>
      <c r="C189" s="137" t="s">
        <v>204</v>
      </c>
      <c r="D189" s="137" t="s">
        <v>205</v>
      </c>
      <c r="E189" s="138" t="s">
        <v>121</v>
      </c>
      <c r="F189" s="137"/>
      <c r="G189" s="137" t="s">
        <v>369</v>
      </c>
      <c r="H189" s="137" t="s">
        <v>370</v>
      </c>
      <c r="I189" s="137" t="s">
        <v>372</v>
      </c>
      <c r="J189" s="216">
        <v>10</v>
      </c>
      <c r="K189" s="137" t="s">
        <v>480</v>
      </c>
      <c r="L189" s="137" t="s">
        <v>658</v>
      </c>
      <c r="M189" s="137" t="s">
        <v>412</v>
      </c>
      <c r="N189" s="137" t="s">
        <v>659</v>
      </c>
    </row>
    <row r="190" spans="1:14" ht="18.75" customHeight="1" x14ac:dyDescent="0.25">
      <c r="A190" s="136">
        <v>4</v>
      </c>
      <c r="B190" s="137" t="s">
        <v>203</v>
      </c>
      <c r="C190" s="137" t="s">
        <v>204</v>
      </c>
      <c r="D190" s="137" t="s">
        <v>205</v>
      </c>
      <c r="E190" s="138" t="s">
        <v>121</v>
      </c>
      <c r="F190" s="137"/>
      <c r="G190" s="137" t="s">
        <v>374</v>
      </c>
      <c r="H190" s="137" t="s">
        <v>375</v>
      </c>
      <c r="I190" s="137" t="s">
        <v>377</v>
      </c>
      <c r="J190" s="216">
        <v>4</v>
      </c>
      <c r="K190" s="137" t="s">
        <v>36</v>
      </c>
      <c r="L190" s="137" t="s">
        <v>660</v>
      </c>
      <c r="M190" s="137" t="s">
        <v>121</v>
      </c>
      <c r="N190" s="137" t="s">
        <v>657</v>
      </c>
    </row>
    <row r="191" spans="1:14" ht="18.75" customHeight="1" x14ac:dyDescent="0.25">
      <c r="A191" s="136">
        <v>5</v>
      </c>
      <c r="B191" s="137" t="s">
        <v>203</v>
      </c>
      <c r="C191" s="137" t="s">
        <v>204</v>
      </c>
      <c r="D191" s="137" t="s">
        <v>205</v>
      </c>
      <c r="E191" s="138" t="s">
        <v>121</v>
      </c>
      <c r="F191" s="137"/>
      <c r="G191" s="137" t="s">
        <v>379</v>
      </c>
      <c r="H191" s="137" t="s">
        <v>380</v>
      </c>
      <c r="I191" s="137" t="s">
        <v>381</v>
      </c>
      <c r="J191" s="216">
        <v>8</v>
      </c>
      <c r="K191" s="137" t="s">
        <v>480</v>
      </c>
      <c r="L191" s="137" t="s">
        <v>658</v>
      </c>
      <c r="M191" s="137" t="s">
        <v>412</v>
      </c>
      <c r="N191" s="137" t="s">
        <v>659</v>
      </c>
    </row>
    <row r="192" spans="1:14" ht="4.5" customHeight="1" x14ac:dyDescent="0.25">
      <c r="A192" s="105">
        <v>6</v>
      </c>
      <c r="B192" s="105" t="s">
        <v>203</v>
      </c>
      <c r="C192" s="105" t="s">
        <v>204</v>
      </c>
      <c r="D192" s="105" t="s">
        <v>205</v>
      </c>
      <c r="E192" s="105" t="s">
        <v>121</v>
      </c>
      <c r="F192" s="105"/>
      <c r="G192" s="105" t="s">
        <v>383</v>
      </c>
      <c r="H192" s="105" t="s">
        <v>384</v>
      </c>
      <c r="I192" s="105" t="s">
        <v>385</v>
      </c>
      <c r="J192" s="201">
        <v>7</v>
      </c>
      <c r="K192" s="105" t="s">
        <v>36</v>
      </c>
      <c r="L192" s="105" t="s">
        <v>661</v>
      </c>
      <c r="M192" s="105" t="s">
        <v>121</v>
      </c>
      <c r="N192" s="105" t="s">
        <v>657</v>
      </c>
    </row>
    <row r="193" spans="1:14" ht="19.5" customHeight="1" x14ac:dyDescent="0.25">
      <c r="A193" s="276" t="s">
        <v>741</v>
      </c>
      <c r="B193" s="260"/>
      <c r="C193" s="260"/>
      <c r="D193" s="260"/>
      <c r="E193" s="260"/>
      <c r="F193" s="260"/>
      <c r="G193" s="260"/>
      <c r="H193" s="260"/>
      <c r="I193" s="260"/>
      <c r="J193" s="260"/>
      <c r="K193" s="260"/>
      <c r="L193" s="260"/>
      <c r="M193" s="260"/>
      <c r="N193" s="261"/>
    </row>
    <row r="194" spans="1:14" ht="18.75" customHeight="1" x14ac:dyDescent="0.25">
      <c r="A194" s="34">
        <v>8</v>
      </c>
      <c r="B194" s="35" t="s">
        <v>203</v>
      </c>
      <c r="C194" s="35" t="s">
        <v>204</v>
      </c>
      <c r="D194" s="35" t="s">
        <v>205</v>
      </c>
      <c r="E194" s="109" t="s">
        <v>121</v>
      </c>
      <c r="F194" s="35"/>
      <c r="G194" s="35" t="s">
        <v>391</v>
      </c>
      <c r="H194" s="35" t="s">
        <v>392</v>
      </c>
      <c r="I194" s="35" t="s">
        <v>393</v>
      </c>
      <c r="J194" s="198">
        <v>8</v>
      </c>
      <c r="K194" s="35" t="s">
        <v>480</v>
      </c>
      <c r="L194" s="35" t="s">
        <v>658</v>
      </c>
      <c r="M194" s="35" t="s">
        <v>412</v>
      </c>
      <c r="N194" s="35" t="s">
        <v>659</v>
      </c>
    </row>
    <row r="195" spans="1:14" ht="18.75" customHeight="1" x14ac:dyDescent="0.25">
      <c r="A195" s="139">
        <v>9</v>
      </c>
      <c r="B195" s="140" t="s">
        <v>203</v>
      </c>
      <c r="C195" s="140" t="s">
        <v>204</v>
      </c>
      <c r="D195" s="140" t="s">
        <v>205</v>
      </c>
      <c r="E195" s="141" t="s">
        <v>121</v>
      </c>
      <c r="F195" s="140"/>
      <c r="G195" s="140" t="s">
        <v>395</v>
      </c>
      <c r="H195" s="140" t="s">
        <v>396</v>
      </c>
      <c r="I195" s="140" t="s">
        <v>360</v>
      </c>
      <c r="J195" s="217">
        <v>4</v>
      </c>
      <c r="K195" s="140" t="s">
        <v>36</v>
      </c>
      <c r="L195" s="140" t="s">
        <v>662</v>
      </c>
      <c r="M195" s="140" t="s">
        <v>121</v>
      </c>
      <c r="N195" s="140" t="s">
        <v>657</v>
      </c>
    </row>
    <row r="196" spans="1:14" ht="18.75" customHeight="1" x14ac:dyDescent="0.25">
      <c r="A196" s="139">
        <v>10</v>
      </c>
      <c r="B196" s="140" t="s">
        <v>203</v>
      </c>
      <c r="C196" s="140" t="s">
        <v>204</v>
      </c>
      <c r="D196" s="140" t="s">
        <v>205</v>
      </c>
      <c r="E196" s="141" t="s">
        <v>121</v>
      </c>
      <c r="F196" s="140"/>
      <c r="G196" s="140" t="s">
        <v>399</v>
      </c>
      <c r="H196" s="140" t="s">
        <v>400</v>
      </c>
      <c r="I196" s="140" t="s">
        <v>372</v>
      </c>
      <c r="J196" s="217">
        <v>15</v>
      </c>
      <c r="K196" s="140" t="s">
        <v>480</v>
      </c>
      <c r="L196" s="140" t="s">
        <v>658</v>
      </c>
      <c r="M196" s="140" t="s">
        <v>412</v>
      </c>
      <c r="N196" s="140" t="s">
        <v>659</v>
      </c>
    </row>
    <row r="197" spans="1:14" ht="18.75" customHeight="1" x14ac:dyDescent="0.25">
      <c r="A197" s="139">
        <v>11</v>
      </c>
      <c r="B197" s="140" t="s">
        <v>203</v>
      </c>
      <c r="C197" s="140" t="s">
        <v>204</v>
      </c>
      <c r="D197" s="140" t="s">
        <v>205</v>
      </c>
      <c r="E197" s="141" t="s">
        <v>121</v>
      </c>
      <c r="F197" s="140"/>
      <c r="G197" s="140" t="s">
        <v>402</v>
      </c>
      <c r="H197" s="140" t="s">
        <v>403</v>
      </c>
      <c r="I197" s="140" t="s">
        <v>404</v>
      </c>
      <c r="J197" s="217">
        <v>9</v>
      </c>
      <c r="K197" s="140" t="s">
        <v>36</v>
      </c>
      <c r="L197" s="140" t="s">
        <v>663</v>
      </c>
      <c r="M197" s="140" t="s">
        <v>121</v>
      </c>
      <c r="N197" s="140" t="s">
        <v>657</v>
      </c>
    </row>
    <row r="198" spans="1:14" ht="18.75" customHeight="1" x14ac:dyDescent="0.25">
      <c r="A198" s="139">
        <v>12</v>
      </c>
      <c r="B198" s="140" t="s">
        <v>203</v>
      </c>
      <c r="C198" s="140" t="s">
        <v>204</v>
      </c>
      <c r="D198" s="140" t="s">
        <v>205</v>
      </c>
      <c r="E198" s="141" t="s">
        <v>121</v>
      </c>
      <c r="F198" s="140"/>
      <c r="G198" s="140" t="s">
        <v>406</v>
      </c>
      <c r="H198" s="140" t="s">
        <v>407</v>
      </c>
      <c r="I198" s="140" t="s">
        <v>367</v>
      </c>
      <c r="J198" s="217">
        <v>11</v>
      </c>
      <c r="K198" s="140" t="s">
        <v>480</v>
      </c>
      <c r="L198" s="140" t="s">
        <v>658</v>
      </c>
      <c r="M198" s="140" t="s">
        <v>412</v>
      </c>
      <c r="N198" s="140" t="s">
        <v>659</v>
      </c>
    </row>
    <row r="199" spans="1:14" ht="18.75" customHeight="1" x14ac:dyDescent="0.25">
      <c r="A199" s="139">
        <v>13</v>
      </c>
      <c r="B199" s="140" t="s">
        <v>203</v>
      </c>
      <c r="C199" s="140" t="s">
        <v>204</v>
      </c>
      <c r="D199" s="140" t="s">
        <v>205</v>
      </c>
      <c r="E199" s="141" t="s">
        <v>121</v>
      </c>
      <c r="F199" s="140"/>
      <c r="G199" s="140" t="s">
        <v>409</v>
      </c>
      <c r="H199" s="140" t="s">
        <v>410</v>
      </c>
      <c r="I199" s="140" t="s">
        <v>360</v>
      </c>
      <c r="J199" s="217">
        <v>3</v>
      </c>
      <c r="K199" s="140" t="s">
        <v>36</v>
      </c>
      <c r="L199" s="140" t="s">
        <v>664</v>
      </c>
      <c r="M199" s="140" t="s">
        <v>121</v>
      </c>
      <c r="N199" s="140" t="s">
        <v>657</v>
      </c>
    </row>
    <row r="200" spans="1:14" ht="18.75" customHeight="1" x14ac:dyDescent="0.25">
      <c r="A200" s="139">
        <v>14</v>
      </c>
      <c r="B200" s="140" t="s">
        <v>203</v>
      </c>
      <c r="C200" s="140" t="s">
        <v>204</v>
      </c>
      <c r="D200" s="140" t="s">
        <v>205</v>
      </c>
      <c r="E200" s="141" t="s">
        <v>121</v>
      </c>
      <c r="F200" s="140"/>
      <c r="G200" s="140" t="s">
        <v>415</v>
      </c>
      <c r="H200" s="140" t="s">
        <v>416</v>
      </c>
      <c r="I200" s="140" t="s">
        <v>385</v>
      </c>
      <c r="J200" s="217">
        <v>13</v>
      </c>
      <c r="K200" s="140" t="s">
        <v>36</v>
      </c>
      <c r="L200" s="140" t="s">
        <v>665</v>
      </c>
      <c r="M200" s="140" t="s">
        <v>121</v>
      </c>
      <c r="N200" s="140" t="s">
        <v>657</v>
      </c>
    </row>
    <row r="201" spans="1:14" ht="18.75" customHeight="1" x14ac:dyDescent="0.25">
      <c r="A201" s="139">
        <v>15</v>
      </c>
      <c r="B201" s="140" t="s">
        <v>203</v>
      </c>
      <c r="C201" s="140" t="s">
        <v>204</v>
      </c>
      <c r="D201" s="140" t="s">
        <v>205</v>
      </c>
      <c r="E201" s="141" t="s">
        <v>121</v>
      </c>
      <c r="F201" s="140"/>
      <c r="G201" s="140" t="s">
        <v>418</v>
      </c>
      <c r="H201" s="140" t="s">
        <v>419</v>
      </c>
      <c r="I201" s="140" t="s">
        <v>421</v>
      </c>
      <c r="J201" s="217">
        <v>11</v>
      </c>
      <c r="K201" s="140" t="s">
        <v>480</v>
      </c>
      <c r="L201" s="140" t="s">
        <v>658</v>
      </c>
      <c r="M201" s="140" t="s">
        <v>412</v>
      </c>
      <c r="N201" s="140" t="s">
        <v>659</v>
      </c>
    </row>
    <row r="202" spans="1:14" ht="18.75" customHeight="1" x14ac:dyDescent="0.25">
      <c r="A202" s="139">
        <v>16</v>
      </c>
      <c r="B202" s="140" t="s">
        <v>203</v>
      </c>
      <c r="C202" s="140" t="s">
        <v>204</v>
      </c>
      <c r="D202" s="140" t="s">
        <v>205</v>
      </c>
      <c r="E202" s="141" t="s">
        <v>121</v>
      </c>
      <c r="F202" s="140"/>
      <c r="G202" s="140" t="s">
        <v>423</v>
      </c>
      <c r="H202" s="140" t="s">
        <v>424</v>
      </c>
      <c r="I202" s="140" t="s">
        <v>425</v>
      </c>
      <c r="J202" s="217">
        <v>10</v>
      </c>
      <c r="K202" s="140" t="s">
        <v>36</v>
      </c>
      <c r="L202" s="140" t="s">
        <v>666</v>
      </c>
      <c r="M202" s="140" t="s">
        <v>121</v>
      </c>
      <c r="N202" s="140" t="s">
        <v>657</v>
      </c>
    </row>
    <row r="203" spans="1:14" ht="18.75" customHeight="1" x14ac:dyDescent="0.25">
      <c r="A203" s="139">
        <v>17</v>
      </c>
      <c r="B203" s="140" t="s">
        <v>203</v>
      </c>
      <c r="C203" s="140" t="s">
        <v>204</v>
      </c>
      <c r="D203" s="140" t="s">
        <v>205</v>
      </c>
      <c r="E203" s="141" t="s">
        <v>121</v>
      </c>
      <c r="F203" s="140"/>
      <c r="G203" s="140" t="s">
        <v>427</v>
      </c>
      <c r="H203" s="140" t="s">
        <v>428</v>
      </c>
      <c r="I203" s="140" t="s">
        <v>429</v>
      </c>
      <c r="J203" s="217">
        <v>9</v>
      </c>
      <c r="K203" s="140" t="s">
        <v>480</v>
      </c>
      <c r="L203" s="140" t="s">
        <v>658</v>
      </c>
      <c r="M203" s="140" t="s">
        <v>412</v>
      </c>
      <c r="N203" s="140" t="s">
        <v>659</v>
      </c>
    </row>
    <row r="204" spans="1:14" ht="18.75" customHeight="1" x14ac:dyDescent="0.25">
      <c r="A204" s="139">
        <v>18</v>
      </c>
      <c r="B204" s="140" t="s">
        <v>203</v>
      </c>
      <c r="C204" s="140" t="s">
        <v>204</v>
      </c>
      <c r="D204" s="140" t="s">
        <v>205</v>
      </c>
      <c r="E204" s="141" t="s">
        <v>121</v>
      </c>
      <c r="F204" s="140"/>
      <c r="G204" s="140" t="s">
        <v>431</v>
      </c>
      <c r="H204" s="140" t="s">
        <v>432</v>
      </c>
      <c r="I204" s="140" t="s">
        <v>360</v>
      </c>
      <c r="J204" s="217">
        <v>3</v>
      </c>
      <c r="K204" s="140" t="s">
        <v>36</v>
      </c>
      <c r="L204" s="140" t="s">
        <v>667</v>
      </c>
      <c r="M204" s="140" t="s">
        <v>121</v>
      </c>
      <c r="N204" s="140" t="s">
        <v>657</v>
      </c>
    </row>
    <row r="205" spans="1:14" ht="18.75" customHeight="1" x14ac:dyDescent="0.25">
      <c r="A205" s="139">
        <v>19</v>
      </c>
      <c r="B205" s="140" t="s">
        <v>203</v>
      </c>
      <c r="C205" s="140" t="s">
        <v>204</v>
      </c>
      <c r="D205" s="140" t="s">
        <v>205</v>
      </c>
      <c r="E205" s="141" t="s">
        <v>121</v>
      </c>
      <c r="F205" s="140"/>
      <c r="G205" s="140" t="s">
        <v>434</v>
      </c>
      <c r="H205" s="140" t="s">
        <v>435</v>
      </c>
      <c r="I205" s="140" t="s">
        <v>436</v>
      </c>
      <c r="J205" s="217">
        <v>6</v>
      </c>
      <c r="K205" s="140" t="s">
        <v>480</v>
      </c>
      <c r="L205" s="140" t="s">
        <v>658</v>
      </c>
      <c r="M205" s="140" t="s">
        <v>412</v>
      </c>
      <c r="N205" s="140" t="s">
        <v>659</v>
      </c>
    </row>
    <row r="206" spans="1:14" ht="18.75" customHeight="1" x14ac:dyDescent="0.25">
      <c r="A206" s="139">
        <v>20</v>
      </c>
      <c r="B206" s="140" t="s">
        <v>203</v>
      </c>
      <c r="C206" s="140" t="s">
        <v>204</v>
      </c>
      <c r="D206" s="140" t="s">
        <v>205</v>
      </c>
      <c r="E206" s="141" t="s">
        <v>121</v>
      </c>
      <c r="F206" s="140"/>
      <c r="G206" s="140" t="s">
        <v>438</v>
      </c>
      <c r="H206" s="140" t="s">
        <v>439</v>
      </c>
      <c r="I206" s="140" t="s">
        <v>440</v>
      </c>
      <c r="J206" s="217">
        <v>11</v>
      </c>
      <c r="K206" s="140" t="s">
        <v>36</v>
      </c>
      <c r="L206" s="140" t="s">
        <v>668</v>
      </c>
      <c r="M206" s="140" t="s">
        <v>121</v>
      </c>
      <c r="N206" s="140" t="s">
        <v>657</v>
      </c>
    </row>
    <row r="207" spans="1:14" ht="18.75" customHeight="1" x14ac:dyDescent="0.25">
      <c r="A207" s="139">
        <v>21</v>
      </c>
      <c r="B207" s="140" t="s">
        <v>203</v>
      </c>
      <c r="C207" s="140" t="s">
        <v>204</v>
      </c>
      <c r="D207" s="140" t="s">
        <v>205</v>
      </c>
      <c r="E207" s="141" t="s">
        <v>121</v>
      </c>
      <c r="F207" s="140"/>
      <c r="G207" s="140" t="s">
        <v>442</v>
      </c>
      <c r="H207" s="140" t="s">
        <v>443</v>
      </c>
      <c r="I207" s="140" t="s">
        <v>381</v>
      </c>
      <c r="J207" s="217">
        <v>8</v>
      </c>
      <c r="K207" s="140" t="s">
        <v>480</v>
      </c>
      <c r="L207" s="140" t="s">
        <v>658</v>
      </c>
      <c r="M207" s="140" t="s">
        <v>412</v>
      </c>
      <c r="N207" s="140" t="s">
        <v>659</v>
      </c>
    </row>
    <row r="208" spans="1:14" ht="18.75" customHeight="1" x14ac:dyDescent="0.25">
      <c r="A208" s="139">
        <v>22</v>
      </c>
      <c r="B208" s="140" t="s">
        <v>203</v>
      </c>
      <c r="C208" s="140" t="s">
        <v>204</v>
      </c>
      <c r="D208" s="140" t="s">
        <v>205</v>
      </c>
      <c r="E208" s="141" t="s">
        <v>121</v>
      </c>
      <c r="F208" s="140"/>
      <c r="G208" s="140" t="s">
        <v>445</v>
      </c>
      <c r="H208" s="140" t="s">
        <v>446</v>
      </c>
      <c r="I208" s="140" t="s">
        <v>372</v>
      </c>
      <c r="J208" s="217">
        <v>12</v>
      </c>
      <c r="K208" s="140" t="s">
        <v>36</v>
      </c>
      <c r="L208" s="140" t="s">
        <v>669</v>
      </c>
      <c r="M208" s="140" t="s">
        <v>121</v>
      </c>
      <c r="N208" s="140" t="s">
        <v>657</v>
      </c>
    </row>
    <row r="209" spans="1:14" ht="18.75" customHeight="1" x14ac:dyDescent="0.25">
      <c r="A209" s="139">
        <v>23</v>
      </c>
      <c r="B209" s="140" t="s">
        <v>203</v>
      </c>
      <c r="C209" s="140" t="s">
        <v>204</v>
      </c>
      <c r="D209" s="140" t="s">
        <v>205</v>
      </c>
      <c r="E209" s="141" t="s">
        <v>121</v>
      </c>
      <c r="F209" s="140"/>
      <c r="G209" s="140" t="s">
        <v>449</v>
      </c>
      <c r="H209" s="140" t="s">
        <v>450</v>
      </c>
      <c r="I209" s="140" t="s">
        <v>451</v>
      </c>
      <c r="J209" s="217">
        <v>15</v>
      </c>
      <c r="K209" s="140" t="s">
        <v>36</v>
      </c>
      <c r="L209" s="140" t="s">
        <v>670</v>
      </c>
      <c r="M209" s="140" t="s">
        <v>121</v>
      </c>
      <c r="N209" s="140" t="s">
        <v>657</v>
      </c>
    </row>
    <row r="210" spans="1:14" ht="18.75" customHeight="1" x14ac:dyDescent="0.25">
      <c r="A210" s="139">
        <v>24</v>
      </c>
      <c r="B210" s="140" t="s">
        <v>203</v>
      </c>
      <c r="C210" s="140" t="s">
        <v>204</v>
      </c>
      <c r="D210" s="140" t="s">
        <v>205</v>
      </c>
      <c r="E210" s="141" t="s">
        <v>121</v>
      </c>
      <c r="F210" s="140"/>
      <c r="G210" s="140" t="s">
        <v>453</v>
      </c>
      <c r="H210" s="140" t="s">
        <v>454</v>
      </c>
      <c r="I210" s="140" t="s">
        <v>455</v>
      </c>
      <c r="J210" s="217">
        <v>10</v>
      </c>
      <c r="K210" s="140" t="s">
        <v>480</v>
      </c>
      <c r="L210" s="140" t="s">
        <v>658</v>
      </c>
      <c r="M210" s="140" t="s">
        <v>412</v>
      </c>
      <c r="N210" s="140" t="s">
        <v>659</v>
      </c>
    </row>
    <row r="211" spans="1:14" ht="18.75" customHeight="1" x14ac:dyDescent="0.25">
      <c r="A211" s="139">
        <v>25</v>
      </c>
      <c r="B211" s="140" t="s">
        <v>203</v>
      </c>
      <c r="C211" s="140" t="s">
        <v>204</v>
      </c>
      <c r="D211" s="140" t="s">
        <v>205</v>
      </c>
      <c r="E211" s="141" t="s">
        <v>121</v>
      </c>
      <c r="F211" s="140"/>
      <c r="G211" s="140" t="s">
        <v>457</v>
      </c>
      <c r="H211" s="140" t="s">
        <v>458</v>
      </c>
      <c r="I211" s="140" t="s">
        <v>459</v>
      </c>
      <c r="J211" s="217">
        <v>13</v>
      </c>
      <c r="K211" s="140" t="s">
        <v>36</v>
      </c>
      <c r="L211" s="140" t="s">
        <v>671</v>
      </c>
      <c r="M211" s="140" t="s">
        <v>121</v>
      </c>
      <c r="N211" s="140" t="s">
        <v>657</v>
      </c>
    </row>
    <row r="212" spans="1:14" ht="18.75" customHeight="1" x14ac:dyDescent="0.25">
      <c r="A212" s="139" t="s">
        <v>742</v>
      </c>
      <c r="B212" s="140" t="s">
        <v>203</v>
      </c>
      <c r="C212" s="140" t="s">
        <v>204</v>
      </c>
      <c r="D212" s="140" t="s">
        <v>205</v>
      </c>
      <c r="E212" s="141" t="s">
        <v>121</v>
      </c>
      <c r="F212" s="140"/>
      <c r="G212" s="140" t="s">
        <v>686</v>
      </c>
      <c r="H212" s="140" t="s">
        <v>435</v>
      </c>
      <c r="I212" s="140" t="s">
        <v>436</v>
      </c>
      <c r="J212" s="217">
        <v>10</v>
      </c>
      <c r="K212" s="140"/>
      <c r="L212" s="140"/>
      <c r="M212" s="140"/>
      <c r="N212" s="140"/>
    </row>
    <row r="213" spans="1:14" ht="18.75" customHeight="1" x14ac:dyDescent="0.25">
      <c r="A213" s="139">
        <v>1</v>
      </c>
      <c r="B213" s="140" t="s">
        <v>206</v>
      </c>
      <c r="C213" s="140" t="s">
        <v>76</v>
      </c>
      <c r="D213" s="140" t="s">
        <v>207</v>
      </c>
      <c r="E213" s="141" t="s">
        <v>104</v>
      </c>
      <c r="F213" s="140"/>
      <c r="G213" s="140" t="s">
        <v>353</v>
      </c>
      <c r="H213" s="140" t="s">
        <v>354</v>
      </c>
      <c r="I213" s="140" t="s">
        <v>360</v>
      </c>
      <c r="J213" s="217">
        <v>3</v>
      </c>
      <c r="K213" s="140" t="s">
        <v>36</v>
      </c>
      <c r="L213" s="140" t="s">
        <v>656</v>
      </c>
      <c r="M213" s="140" t="s">
        <v>104</v>
      </c>
      <c r="N213" s="140" t="s">
        <v>657</v>
      </c>
    </row>
    <row r="214" spans="1:14" ht="18.75" customHeight="1" x14ac:dyDescent="0.25">
      <c r="A214" s="139">
        <v>2</v>
      </c>
      <c r="B214" s="140" t="s">
        <v>206</v>
      </c>
      <c r="C214" s="140" t="s">
        <v>76</v>
      </c>
      <c r="D214" s="140" t="s">
        <v>207</v>
      </c>
      <c r="E214" s="141" t="s">
        <v>104</v>
      </c>
      <c r="F214" s="140"/>
      <c r="G214" s="140" t="s">
        <v>363</v>
      </c>
      <c r="H214" s="140" t="s">
        <v>364</v>
      </c>
      <c r="I214" s="140" t="s">
        <v>367</v>
      </c>
      <c r="J214" s="217">
        <v>6</v>
      </c>
      <c r="K214" s="140" t="s">
        <v>480</v>
      </c>
      <c r="L214" s="140" t="s">
        <v>658</v>
      </c>
      <c r="M214" s="140" t="s">
        <v>412</v>
      </c>
      <c r="N214" s="140" t="s">
        <v>659</v>
      </c>
    </row>
    <row r="215" spans="1:14" ht="18.75" customHeight="1" x14ac:dyDescent="0.25">
      <c r="A215" s="139">
        <v>3</v>
      </c>
      <c r="B215" s="140" t="s">
        <v>206</v>
      </c>
      <c r="C215" s="140" t="s">
        <v>76</v>
      </c>
      <c r="D215" s="140" t="s">
        <v>207</v>
      </c>
      <c r="E215" s="141" t="s">
        <v>104</v>
      </c>
      <c r="F215" s="140"/>
      <c r="G215" s="140" t="s">
        <v>369</v>
      </c>
      <c r="H215" s="140" t="s">
        <v>370</v>
      </c>
      <c r="I215" s="140" t="s">
        <v>372</v>
      </c>
      <c r="J215" s="217">
        <v>7</v>
      </c>
      <c r="K215" s="140" t="s">
        <v>480</v>
      </c>
      <c r="L215" s="140" t="s">
        <v>658</v>
      </c>
      <c r="M215" s="140" t="s">
        <v>412</v>
      </c>
      <c r="N215" s="140" t="s">
        <v>659</v>
      </c>
    </row>
    <row r="216" spans="1:14" ht="18.75" customHeight="1" x14ac:dyDescent="0.25">
      <c r="A216" s="139">
        <v>4</v>
      </c>
      <c r="B216" s="140" t="s">
        <v>206</v>
      </c>
      <c r="C216" s="140" t="s">
        <v>76</v>
      </c>
      <c r="D216" s="140" t="s">
        <v>207</v>
      </c>
      <c r="E216" s="141" t="s">
        <v>104</v>
      </c>
      <c r="F216" s="140"/>
      <c r="G216" s="140" t="s">
        <v>374</v>
      </c>
      <c r="H216" s="140" t="s">
        <v>375</v>
      </c>
      <c r="I216" s="140" t="s">
        <v>377</v>
      </c>
      <c r="J216" s="217">
        <v>5</v>
      </c>
      <c r="K216" s="140" t="s">
        <v>36</v>
      </c>
      <c r="L216" s="140" t="s">
        <v>660</v>
      </c>
      <c r="M216" s="140" t="s">
        <v>104</v>
      </c>
      <c r="N216" s="140" t="s">
        <v>657</v>
      </c>
    </row>
    <row r="217" spans="1:14" ht="18.75" customHeight="1" x14ac:dyDescent="0.25">
      <c r="A217" s="139">
        <v>5</v>
      </c>
      <c r="B217" s="140" t="s">
        <v>206</v>
      </c>
      <c r="C217" s="140" t="s">
        <v>76</v>
      </c>
      <c r="D217" s="140" t="s">
        <v>207</v>
      </c>
      <c r="E217" s="141" t="s">
        <v>104</v>
      </c>
      <c r="F217" s="140"/>
      <c r="G217" s="140" t="s">
        <v>379</v>
      </c>
      <c r="H217" s="140" t="s">
        <v>380</v>
      </c>
      <c r="I217" s="140" t="s">
        <v>381</v>
      </c>
      <c r="J217" s="217">
        <v>7</v>
      </c>
      <c r="K217" s="140" t="s">
        <v>480</v>
      </c>
      <c r="L217" s="140" t="s">
        <v>658</v>
      </c>
      <c r="M217" s="140" t="s">
        <v>412</v>
      </c>
      <c r="N217" s="140" t="s">
        <v>659</v>
      </c>
    </row>
    <row r="218" spans="1:14" ht="18.75" customHeight="1" x14ac:dyDescent="0.25">
      <c r="A218" s="139">
        <v>6</v>
      </c>
      <c r="B218" s="140" t="s">
        <v>206</v>
      </c>
      <c r="C218" s="140" t="s">
        <v>76</v>
      </c>
      <c r="D218" s="140" t="s">
        <v>207</v>
      </c>
      <c r="E218" s="141" t="s">
        <v>104</v>
      </c>
      <c r="F218" s="140"/>
      <c r="G218" s="140" t="s">
        <v>383</v>
      </c>
      <c r="H218" s="140" t="s">
        <v>384</v>
      </c>
      <c r="I218" s="140" t="s">
        <v>385</v>
      </c>
      <c r="J218" s="217">
        <v>10</v>
      </c>
      <c r="K218" s="140" t="s">
        <v>36</v>
      </c>
      <c r="L218" s="140" t="s">
        <v>661</v>
      </c>
      <c r="M218" s="140" t="s">
        <v>104</v>
      </c>
      <c r="N218" s="140" t="s">
        <v>657</v>
      </c>
    </row>
    <row r="219" spans="1:14" ht="4.5" customHeight="1" x14ac:dyDescent="0.25">
      <c r="A219" s="105">
        <v>7</v>
      </c>
      <c r="B219" s="105" t="s">
        <v>206</v>
      </c>
      <c r="C219" s="105" t="s">
        <v>76</v>
      </c>
      <c r="D219" s="105" t="s">
        <v>207</v>
      </c>
      <c r="E219" s="105" t="s">
        <v>104</v>
      </c>
      <c r="F219" s="105"/>
      <c r="G219" s="105" t="s">
        <v>387</v>
      </c>
      <c r="H219" s="105" t="s">
        <v>388</v>
      </c>
      <c r="I219" s="105" t="s">
        <v>389</v>
      </c>
      <c r="J219" s="201">
        <v>10</v>
      </c>
      <c r="K219" s="105" t="s">
        <v>480</v>
      </c>
      <c r="L219" s="105" t="s">
        <v>658</v>
      </c>
      <c r="M219" s="105" t="s">
        <v>412</v>
      </c>
      <c r="N219" s="105" t="s">
        <v>659</v>
      </c>
    </row>
    <row r="220" spans="1:14" ht="19.5" customHeight="1" x14ac:dyDescent="0.25">
      <c r="A220" s="276" t="s">
        <v>742</v>
      </c>
      <c r="B220" s="260"/>
      <c r="C220" s="260"/>
      <c r="D220" s="260"/>
      <c r="E220" s="260"/>
      <c r="F220" s="260"/>
      <c r="G220" s="260"/>
      <c r="H220" s="260"/>
      <c r="I220" s="260"/>
      <c r="J220" s="260"/>
      <c r="K220" s="260"/>
      <c r="L220" s="260"/>
      <c r="M220" s="260"/>
      <c r="N220" s="261"/>
    </row>
    <row r="221" spans="1:14" ht="18.75" customHeight="1" x14ac:dyDescent="0.25">
      <c r="A221" s="34">
        <v>9</v>
      </c>
      <c r="B221" s="35" t="s">
        <v>206</v>
      </c>
      <c r="C221" s="35" t="s">
        <v>76</v>
      </c>
      <c r="D221" s="35" t="s">
        <v>207</v>
      </c>
      <c r="E221" s="101" t="s">
        <v>104</v>
      </c>
      <c r="F221" s="35"/>
      <c r="G221" s="35" t="s">
        <v>395</v>
      </c>
      <c r="H221" s="35" t="s">
        <v>396</v>
      </c>
      <c r="I221" s="35" t="s">
        <v>360</v>
      </c>
      <c r="J221" s="198">
        <v>4</v>
      </c>
      <c r="K221" s="35" t="s">
        <v>36</v>
      </c>
      <c r="L221" s="35" t="s">
        <v>662</v>
      </c>
      <c r="M221" s="35" t="s">
        <v>104</v>
      </c>
      <c r="N221" s="35" t="s">
        <v>657</v>
      </c>
    </row>
    <row r="222" spans="1:14" ht="18.75" customHeight="1" x14ac:dyDescent="0.25">
      <c r="A222" s="136">
        <v>10</v>
      </c>
      <c r="B222" s="137" t="s">
        <v>206</v>
      </c>
      <c r="C222" s="137" t="s">
        <v>76</v>
      </c>
      <c r="D222" s="137" t="s">
        <v>207</v>
      </c>
      <c r="E222" s="138" t="s">
        <v>104</v>
      </c>
      <c r="F222" s="137"/>
      <c r="G222" s="137" t="s">
        <v>399</v>
      </c>
      <c r="H222" s="137" t="s">
        <v>400</v>
      </c>
      <c r="I222" s="137" t="s">
        <v>372</v>
      </c>
      <c r="J222" s="216">
        <v>3</v>
      </c>
      <c r="K222" s="137" t="s">
        <v>480</v>
      </c>
      <c r="L222" s="137" t="s">
        <v>658</v>
      </c>
      <c r="M222" s="137" t="s">
        <v>412</v>
      </c>
      <c r="N222" s="137" t="s">
        <v>659</v>
      </c>
    </row>
    <row r="223" spans="1:14" ht="18.75" customHeight="1" x14ac:dyDescent="0.25">
      <c r="A223" s="136">
        <v>11</v>
      </c>
      <c r="B223" s="137" t="s">
        <v>206</v>
      </c>
      <c r="C223" s="137" t="s">
        <v>76</v>
      </c>
      <c r="D223" s="137" t="s">
        <v>207</v>
      </c>
      <c r="E223" s="138" t="s">
        <v>104</v>
      </c>
      <c r="F223" s="137"/>
      <c r="G223" s="137" t="s">
        <v>402</v>
      </c>
      <c r="H223" s="137" t="s">
        <v>403</v>
      </c>
      <c r="I223" s="137" t="s">
        <v>404</v>
      </c>
      <c r="J223" s="216">
        <v>6</v>
      </c>
      <c r="K223" s="137" t="s">
        <v>36</v>
      </c>
      <c r="L223" s="137" t="s">
        <v>663</v>
      </c>
      <c r="M223" s="137" t="s">
        <v>104</v>
      </c>
      <c r="N223" s="137" t="s">
        <v>657</v>
      </c>
    </row>
    <row r="224" spans="1:14" ht="18.75" customHeight="1" x14ac:dyDescent="0.25">
      <c r="A224" s="136">
        <v>12</v>
      </c>
      <c r="B224" s="137" t="s">
        <v>206</v>
      </c>
      <c r="C224" s="137" t="s">
        <v>76</v>
      </c>
      <c r="D224" s="137" t="s">
        <v>207</v>
      </c>
      <c r="E224" s="138" t="s">
        <v>104</v>
      </c>
      <c r="F224" s="137"/>
      <c r="G224" s="137" t="s">
        <v>406</v>
      </c>
      <c r="H224" s="137" t="s">
        <v>407</v>
      </c>
      <c r="I224" s="137" t="s">
        <v>367</v>
      </c>
      <c r="J224" s="216">
        <v>5</v>
      </c>
      <c r="K224" s="137" t="s">
        <v>480</v>
      </c>
      <c r="L224" s="137" t="s">
        <v>658</v>
      </c>
      <c r="M224" s="137" t="s">
        <v>412</v>
      </c>
      <c r="N224" s="137" t="s">
        <v>659</v>
      </c>
    </row>
    <row r="225" spans="1:14" ht="18.75" customHeight="1" x14ac:dyDescent="0.25">
      <c r="A225" s="136">
        <v>13</v>
      </c>
      <c r="B225" s="137" t="s">
        <v>206</v>
      </c>
      <c r="C225" s="137" t="s">
        <v>76</v>
      </c>
      <c r="D225" s="137" t="s">
        <v>207</v>
      </c>
      <c r="E225" s="138" t="s">
        <v>104</v>
      </c>
      <c r="F225" s="137"/>
      <c r="G225" s="137" t="s">
        <v>409</v>
      </c>
      <c r="H225" s="137" t="s">
        <v>410</v>
      </c>
      <c r="I225" s="137" t="s">
        <v>360</v>
      </c>
      <c r="J225" s="216">
        <v>7</v>
      </c>
      <c r="K225" s="137" t="s">
        <v>36</v>
      </c>
      <c r="L225" s="137" t="s">
        <v>664</v>
      </c>
      <c r="M225" s="137" t="s">
        <v>104</v>
      </c>
      <c r="N225" s="137" t="s">
        <v>657</v>
      </c>
    </row>
    <row r="226" spans="1:14" ht="18.75" customHeight="1" x14ac:dyDescent="0.25">
      <c r="A226" s="136">
        <v>14</v>
      </c>
      <c r="B226" s="137" t="s">
        <v>206</v>
      </c>
      <c r="C226" s="137" t="s">
        <v>76</v>
      </c>
      <c r="D226" s="137" t="s">
        <v>207</v>
      </c>
      <c r="E226" s="138" t="s">
        <v>104</v>
      </c>
      <c r="F226" s="137"/>
      <c r="G226" s="137" t="s">
        <v>415</v>
      </c>
      <c r="H226" s="137" t="s">
        <v>416</v>
      </c>
      <c r="I226" s="137" t="s">
        <v>385</v>
      </c>
      <c r="J226" s="216">
        <v>3</v>
      </c>
      <c r="K226" s="137" t="s">
        <v>36</v>
      </c>
      <c r="L226" s="137" t="s">
        <v>665</v>
      </c>
      <c r="M226" s="137" t="s">
        <v>104</v>
      </c>
      <c r="N226" s="137" t="s">
        <v>657</v>
      </c>
    </row>
    <row r="227" spans="1:14" ht="18.75" customHeight="1" x14ac:dyDescent="0.25">
      <c r="A227" s="136">
        <v>15</v>
      </c>
      <c r="B227" s="137" t="s">
        <v>206</v>
      </c>
      <c r="C227" s="137" t="s">
        <v>76</v>
      </c>
      <c r="D227" s="137" t="s">
        <v>207</v>
      </c>
      <c r="E227" s="138" t="s">
        <v>104</v>
      </c>
      <c r="F227" s="137"/>
      <c r="G227" s="137" t="s">
        <v>418</v>
      </c>
      <c r="H227" s="137" t="s">
        <v>419</v>
      </c>
      <c r="I227" s="137" t="s">
        <v>421</v>
      </c>
      <c r="J227" s="216">
        <v>9</v>
      </c>
      <c r="K227" s="137" t="s">
        <v>480</v>
      </c>
      <c r="L227" s="137" t="s">
        <v>658</v>
      </c>
      <c r="M227" s="137" t="s">
        <v>412</v>
      </c>
      <c r="N227" s="137" t="s">
        <v>659</v>
      </c>
    </row>
    <row r="228" spans="1:14" ht="18.75" customHeight="1" x14ac:dyDescent="0.25">
      <c r="A228" s="136">
        <v>16</v>
      </c>
      <c r="B228" s="137" t="s">
        <v>206</v>
      </c>
      <c r="C228" s="137" t="s">
        <v>76</v>
      </c>
      <c r="D228" s="137" t="s">
        <v>207</v>
      </c>
      <c r="E228" s="138" t="s">
        <v>104</v>
      </c>
      <c r="F228" s="137"/>
      <c r="G228" s="137" t="s">
        <v>423</v>
      </c>
      <c r="H228" s="137" t="s">
        <v>424</v>
      </c>
      <c r="I228" s="137" t="s">
        <v>425</v>
      </c>
      <c r="J228" s="216">
        <v>4</v>
      </c>
      <c r="K228" s="137" t="s">
        <v>36</v>
      </c>
      <c r="L228" s="137" t="s">
        <v>666</v>
      </c>
      <c r="M228" s="137" t="s">
        <v>104</v>
      </c>
      <c r="N228" s="137" t="s">
        <v>657</v>
      </c>
    </row>
    <row r="229" spans="1:14" ht="18.75" customHeight="1" x14ac:dyDescent="0.25">
      <c r="A229" s="136">
        <v>17</v>
      </c>
      <c r="B229" s="137" t="s">
        <v>206</v>
      </c>
      <c r="C229" s="137" t="s">
        <v>76</v>
      </c>
      <c r="D229" s="137" t="s">
        <v>207</v>
      </c>
      <c r="E229" s="138" t="s">
        <v>104</v>
      </c>
      <c r="F229" s="137"/>
      <c r="G229" s="137" t="s">
        <v>427</v>
      </c>
      <c r="H229" s="137" t="s">
        <v>428</v>
      </c>
      <c r="I229" s="137" t="s">
        <v>429</v>
      </c>
      <c r="J229" s="216">
        <v>6</v>
      </c>
      <c r="K229" s="137" t="s">
        <v>480</v>
      </c>
      <c r="L229" s="137" t="s">
        <v>658</v>
      </c>
      <c r="M229" s="137" t="s">
        <v>412</v>
      </c>
      <c r="N229" s="137" t="s">
        <v>659</v>
      </c>
    </row>
    <row r="230" spans="1:14" ht="18.75" customHeight="1" x14ac:dyDescent="0.25">
      <c r="A230" s="136">
        <v>18</v>
      </c>
      <c r="B230" s="137" t="s">
        <v>206</v>
      </c>
      <c r="C230" s="137" t="s">
        <v>76</v>
      </c>
      <c r="D230" s="137" t="s">
        <v>207</v>
      </c>
      <c r="E230" s="138" t="s">
        <v>104</v>
      </c>
      <c r="F230" s="137"/>
      <c r="G230" s="137" t="s">
        <v>431</v>
      </c>
      <c r="H230" s="137" t="s">
        <v>432</v>
      </c>
      <c r="I230" s="137" t="s">
        <v>360</v>
      </c>
      <c r="J230" s="216">
        <v>4</v>
      </c>
      <c r="K230" s="137" t="s">
        <v>36</v>
      </c>
      <c r="L230" s="137" t="s">
        <v>667</v>
      </c>
      <c r="M230" s="137" t="s">
        <v>104</v>
      </c>
      <c r="N230" s="137" t="s">
        <v>657</v>
      </c>
    </row>
    <row r="231" spans="1:14" ht="18.75" customHeight="1" x14ac:dyDescent="0.25">
      <c r="A231" s="136">
        <v>19</v>
      </c>
      <c r="B231" s="137" t="s">
        <v>206</v>
      </c>
      <c r="C231" s="137" t="s">
        <v>76</v>
      </c>
      <c r="D231" s="137" t="s">
        <v>207</v>
      </c>
      <c r="E231" s="138" t="s">
        <v>104</v>
      </c>
      <c r="F231" s="137"/>
      <c r="G231" s="137" t="s">
        <v>434</v>
      </c>
      <c r="H231" s="137" t="s">
        <v>435</v>
      </c>
      <c r="I231" s="137" t="s">
        <v>436</v>
      </c>
      <c r="J231" s="216">
        <v>10</v>
      </c>
      <c r="K231" s="137" t="s">
        <v>480</v>
      </c>
      <c r="L231" s="137" t="s">
        <v>658</v>
      </c>
      <c r="M231" s="137" t="s">
        <v>412</v>
      </c>
      <c r="N231" s="137" t="s">
        <v>659</v>
      </c>
    </row>
    <row r="232" spans="1:14" ht="18.75" customHeight="1" x14ac:dyDescent="0.25">
      <c r="A232" s="136">
        <v>20</v>
      </c>
      <c r="B232" s="137" t="s">
        <v>206</v>
      </c>
      <c r="C232" s="137" t="s">
        <v>76</v>
      </c>
      <c r="D232" s="137" t="s">
        <v>207</v>
      </c>
      <c r="E232" s="138" t="s">
        <v>104</v>
      </c>
      <c r="F232" s="137"/>
      <c r="G232" s="137" t="s">
        <v>438</v>
      </c>
      <c r="H232" s="137" t="s">
        <v>439</v>
      </c>
      <c r="I232" s="137" t="s">
        <v>440</v>
      </c>
      <c r="J232" s="216">
        <v>4</v>
      </c>
      <c r="K232" s="137" t="s">
        <v>36</v>
      </c>
      <c r="L232" s="137" t="s">
        <v>668</v>
      </c>
      <c r="M232" s="137" t="s">
        <v>104</v>
      </c>
      <c r="N232" s="137" t="s">
        <v>657</v>
      </c>
    </row>
    <row r="233" spans="1:14" ht="18.75" customHeight="1" x14ac:dyDescent="0.25">
      <c r="A233" s="136">
        <v>21</v>
      </c>
      <c r="B233" s="137" t="s">
        <v>206</v>
      </c>
      <c r="C233" s="137" t="s">
        <v>76</v>
      </c>
      <c r="D233" s="137" t="s">
        <v>207</v>
      </c>
      <c r="E233" s="138" t="s">
        <v>104</v>
      </c>
      <c r="F233" s="137"/>
      <c r="G233" s="137" t="s">
        <v>442</v>
      </c>
      <c r="H233" s="137" t="s">
        <v>443</v>
      </c>
      <c r="I233" s="137" t="s">
        <v>381</v>
      </c>
      <c r="J233" s="216">
        <v>5</v>
      </c>
      <c r="K233" s="137" t="s">
        <v>480</v>
      </c>
      <c r="L233" s="137" t="s">
        <v>658</v>
      </c>
      <c r="M233" s="137" t="s">
        <v>412</v>
      </c>
      <c r="N233" s="137" t="s">
        <v>659</v>
      </c>
    </row>
    <row r="234" spans="1:14" ht="18.75" customHeight="1" x14ac:dyDescent="0.25">
      <c r="A234" s="136">
        <v>22</v>
      </c>
      <c r="B234" s="137" t="s">
        <v>206</v>
      </c>
      <c r="C234" s="137" t="s">
        <v>76</v>
      </c>
      <c r="D234" s="137" t="s">
        <v>207</v>
      </c>
      <c r="E234" s="138" t="s">
        <v>104</v>
      </c>
      <c r="F234" s="137"/>
      <c r="G234" s="137" t="s">
        <v>445</v>
      </c>
      <c r="H234" s="137" t="s">
        <v>446</v>
      </c>
      <c r="I234" s="137" t="s">
        <v>372</v>
      </c>
      <c r="J234" s="216">
        <v>10</v>
      </c>
      <c r="K234" s="137" t="s">
        <v>36</v>
      </c>
      <c r="L234" s="137" t="s">
        <v>669</v>
      </c>
      <c r="M234" s="137" t="s">
        <v>104</v>
      </c>
      <c r="N234" s="137" t="s">
        <v>657</v>
      </c>
    </row>
    <row r="235" spans="1:14" ht="18.75" customHeight="1" x14ac:dyDescent="0.25">
      <c r="A235" s="136">
        <v>23</v>
      </c>
      <c r="B235" s="137" t="s">
        <v>206</v>
      </c>
      <c r="C235" s="137" t="s">
        <v>76</v>
      </c>
      <c r="D235" s="137" t="s">
        <v>207</v>
      </c>
      <c r="E235" s="138" t="s">
        <v>104</v>
      </c>
      <c r="F235" s="137"/>
      <c r="G235" s="137" t="s">
        <v>449</v>
      </c>
      <c r="H235" s="137" t="s">
        <v>450</v>
      </c>
      <c r="I235" s="137" t="s">
        <v>451</v>
      </c>
      <c r="J235" s="216">
        <v>7</v>
      </c>
      <c r="K235" s="137" t="s">
        <v>36</v>
      </c>
      <c r="L235" s="137" t="s">
        <v>670</v>
      </c>
      <c r="M235" s="137" t="s">
        <v>104</v>
      </c>
      <c r="N235" s="137" t="s">
        <v>657</v>
      </c>
    </row>
    <row r="236" spans="1:14" ht="18.75" customHeight="1" x14ac:dyDescent="0.25">
      <c r="A236" s="136">
        <v>24</v>
      </c>
      <c r="B236" s="137" t="s">
        <v>206</v>
      </c>
      <c r="C236" s="137" t="s">
        <v>76</v>
      </c>
      <c r="D236" s="137" t="s">
        <v>207</v>
      </c>
      <c r="E236" s="138" t="s">
        <v>104</v>
      </c>
      <c r="F236" s="137"/>
      <c r="G236" s="137" t="s">
        <v>453</v>
      </c>
      <c r="H236" s="137" t="s">
        <v>454</v>
      </c>
      <c r="I236" s="137" t="s">
        <v>455</v>
      </c>
      <c r="J236" s="216">
        <v>7</v>
      </c>
      <c r="K236" s="137" t="s">
        <v>480</v>
      </c>
      <c r="L236" s="137" t="s">
        <v>658</v>
      </c>
      <c r="M236" s="137" t="s">
        <v>412</v>
      </c>
      <c r="N236" s="137" t="s">
        <v>659</v>
      </c>
    </row>
    <row r="237" spans="1:14" ht="18.75" customHeight="1" x14ac:dyDescent="0.25">
      <c r="A237" s="136">
        <v>25</v>
      </c>
      <c r="B237" s="137" t="s">
        <v>206</v>
      </c>
      <c r="C237" s="137" t="s">
        <v>76</v>
      </c>
      <c r="D237" s="137" t="s">
        <v>207</v>
      </c>
      <c r="E237" s="138" t="s">
        <v>104</v>
      </c>
      <c r="F237" s="137"/>
      <c r="G237" s="137" t="s">
        <v>457</v>
      </c>
      <c r="H237" s="137" t="s">
        <v>458</v>
      </c>
      <c r="I237" s="137" t="s">
        <v>459</v>
      </c>
      <c r="J237" s="216">
        <v>9</v>
      </c>
      <c r="K237" s="137" t="s">
        <v>36</v>
      </c>
      <c r="L237" s="137" t="s">
        <v>671</v>
      </c>
      <c r="M237" s="137" t="s">
        <v>104</v>
      </c>
      <c r="N237" s="137" t="s">
        <v>657</v>
      </c>
    </row>
    <row r="238" spans="1:14" ht="18.75" customHeight="1" x14ac:dyDescent="0.25">
      <c r="A238" s="136" t="s">
        <v>743</v>
      </c>
      <c r="B238" s="137" t="s">
        <v>206</v>
      </c>
      <c r="C238" s="137" t="s">
        <v>76</v>
      </c>
      <c r="D238" s="137" t="s">
        <v>207</v>
      </c>
      <c r="E238" s="138" t="s">
        <v>104</v>
      </c>
      <c r="F238" s="137"/>
      <c r="G238" s="137" t="s">
        <v>688</v>
      </c>
      <c r="H238" s="137" t="s">
        <v>432</v>
      </c>
      <c r="I238" s="137" t="s">
        <v>455</v>
      </c>
      <c r="J238" s="216">
        <v>10</v>
      </c>
      <c r="K238" s="137"/>
      <c r="L238" s="137"/>
      <c r="M238" s="137"/>
      <c r="N238" s="137"/>
    </row>
    <row r="239" spans="1:14" ht="18.75" customHeight="1" x14ac:dyDescent="0.25">
      <c r="A239" s="136">
        <v>1</v>
      </c>
      <c r="B239" s="137" t="s">
        <v>208</v>
      </c>
      <c r="C239" s="137" t="s">
        <v>189</v>
      </c>
      <c r="D239" s="137" t="s">
        <v>210</v>
      </c>
      <c r="E239" s="138" t="s">
        <v>209</v>
      </c>
      <c r="F239" s="137"/>
      <c r="G239" s="137" t="s">
        <v>353</v>
      </c>
      <c r="H239" s="137" t="s">
        <v>354</v>
      </c>
      <c r="I239" s="137" t="s">
        <v>360</v>
      </c>
      <c r="J239" s="216">
        <v>30</v>
      </c>
      <c r="K239" s="137" t="s">
        <v>36</v>
      </c>
      <c r="L239" s="137" t="s">
        <v>656</v>
      </c>
      <c r="M239" s="137" t="s">
        <v>209</v>
      </c>
      <c r="N239" s="137" t="s">
        <v>657</v>
      </c>
    </row>
    <row r="240" spans="1:14" ht="18.75" customHeight="1" x14ac:dyDescent="0.25">
      <c r="A240" s="136">
        <v>2</v>
      </c>
      <c r="B240" s="137" t="s">
        <v>208</v>
      </c>
      <c r="C240" s="137" t="s">
        <v>189</v>
      </c>
      <c r="D240" s="137" t="s">
        <v>210</v>
      </c>
      <c r="E240" s="138" t="s">
        <v>209</v>
      </c>
      <c r="F240" s="137"/>
      <c r="G240" s="137" t="s">
        <v>363</v>
      </c>
      <c r="H240" s="137" t="s">
        <v>364</v>
      </c>
      <c r="I240" s="137" t="s">
        <v>367</v>
      </c>
      <c r="J240" s="216">
        <v>22</v>
      </c>
      <c r="K240" s="137" t="s">
        <v>480</v>
      </c>
      <c r="L240" s="137" t="s">
        <v>658</v>
      </c>
      <c r="M240" s="137" t="s">
        <v>412</v>
      </c>
      <c r="N240" s="137" t="s">
        <v>659</v>
      </c>
    </row>
    <row r="241" spans="1:14" ht="18.75" customHeight="1" x14ac:dyDescent="0.25">
      <c r="A241" s="136">
        <v>3</v>
      </c>
      <c r="B241" s="137" t="s">
        <v>208</v>
      </c>
      <c r="C241" s="137" t="s">
        <v>189</v>
      </c>
      <c r="D241" s="137" t="s">
        <v>210</v>
      </c>
      <c r="E241" s="138" t="s">
        <v>209</v>
      </c>
      <c r="F241" s="137"/>
      <c r="G241" s="137" t="s">
        <v>369</v>
      </c>
      <c r="H241" s="137" t="s">
        <v>370</v>
      </c>
      <c r="I241" s="137" t="s">
        <v>372</v>
      </c>
      <c r="J241" s="216">
        <v>29</v>
      </c>
      <c r="K241" s="137" t="s">
        <v>480</v>
      </c>
      <c r="L241" s="137" t="s">
        <v>658</v>
      </c>
      <c r="M241" s="137" t="s">
        <v>412</v>
      </c>
      <c r="N241" s="137" t="s">
        <v>659</v>
      </c>
    </row>
    <row r="242" spans="1:14" ht="18.75" customHeight="1" x14ac:dyDescent="0.25">
      <c r="A242" s="136">
        <v>4</v>
      </c>
      <c r="B242" s="137" t="s">
        <v>208</v>
      </c>
      <c r="C242" s="137" t="s">
        <v>189</v>
      </c>
      <c r="D242" s="137" t="s">
        <v>210</v>
      </c>
      <c r="E242" s="138" t="s">
        <v>209</v>
      </c>
      <c r="F242" s="137"/>
      <c r="G242" s="137" t="s">
        <v>374</v>
      </c>
      <c r="H242" s="137" t="s">
        <v>375</v>
      </c>
      <c r="I242" s="137" t="s">
        <v>377</v>
      </c>
      <c r="J242" s="216">
        <v>32</v>
      </c>
      <c r="K242" s="137" t="s">
        <v>36</v>
      </c>
      <c r="L242" s="137" t="s">
        <v>660</v>
      </c>
      <c r="M242" s="137" t="s">
        <v>209</v>
      </c>
      <c r="N242" s="137" t="s">
        <v>657</v>
      </c>
    </row>
    <row r="243" spans="1:14" ht="18.75" customHeight="1" x14ac:dyDescent="0.25">
      <c r="A243" s="136">
        <v>5</v>
      </c>
      <c r="B243" s="137" t="s">
        <v>208</v>
      </c>
      <c r="C243" s="137" t="s">
        <v>189</v>
      </c>
      <c r="D243" s="137" t="s">
        <v>210</v>
      </c>
      <c r="E243" s="138" t="s">
        <v>209</v>
      </c>
      <c r="F243" s="137"/>
      <c r="G243" s="137" t="s">
        <v>379</v>
      </c>
      <c r="H243" s="137" t="s">
        <v>380</v>
      </c>
      <c r="I243" s="137" t="s">
        <v>381</v>
      </c>
      <c r="J243" s="216">
        <v>19</v>
      </c>
      <c r="K243" s="137" t="s">
        <v>480</v>
      </c>
      <c r="L243" s="137" t="s">
        <v>658</v>
      </c>
      <c r="M243" s="137" t="s">
        <v>412</v>
      </c>
      <c r="N243" s="137" t="s">
        <v>659</v>
      </c>
    </row>
    <row r="244" spans="1:14" ht="18.75" customHeight="1" x14ac:dyDescent="0.25">
      <c r="A244" s="136">
        <v>6</v>
      </c>
      <c r="B244" s="137" t="s">
        <v>208</v>
      </c>
      <c r="C244" s="137" t="s">
        <v>189</v>
      </c>
      <c r="D244" s="137" t="s">
        <v>210</v>
      </c>
      <c r="E244" s="138" t="s">
        <v>209</v>
      </c>
      <c r="F244" s="137"/>
      <c r="G244" s="137" t="s">
        <v>383</v>
      </c>
      <c r="H244" s="137" t="s">
        <v>384</v>
      </c>
      <c r="I244" s="137" t="s">
        <v>385</v>
      </c>
      <c r="J244" s="216">
        <v>27</v>
      </c>
      <c r="K244" s="137" t="s">
        <v>36</v>
      </c>
      <c r="L244" s="137" t="s">
        <v>661</v>
      </c>
      <c r="M244" s="137" t="s">
        <v>209</v>
      </c>
      <c r="N244" s="137" t="s">
        <v>657</v>
      </c>
    </row>
    <row r="245" spans="1:14" ht="18.75" customHeight="1" x14ac:dyDescent="0.25">
      <c r="A245" s="136">
        <v>7</v>
      </c>
      <c r="B245" s="137" t="s">
        <v>208</v>
      </c>
      <c r="C245" s="137" t="s">
        <v>189</v>
      </c>
      <c r="D245" s="137" t="s">
        <v>210</v>
      </c>
      <c r="E245" s="138" t="s">
        <v>209</v>
      </c>
      <c r="F245" s="137"/>
      <c r="G245" s="137" t="s">
        <v>387</v>
      </c>
      <c r="H245" s="137" t="s">
        <v>388</v>
      </c>
      <c r="I245" s="137" t="s">
        <v>389</v>
      </c>
      <c r="J245" s="216">
        <v>21</v>
      </c>
      <c r="K245" s="137" t="s">
        <v>480</v>
      </c>
      <c r="L245" s="137" t="s">
        <v>658</v>
      </c>
      <c r="M245" s="137" t="s">
        <v>412</v>
      </c>
      <c r="N245" s="137" t="s">
        <v>659</v>
      </c>
    </row>
    <row r="246" spans="1:14" ht="4.5" customHeight="1" x14ac:dyDescent="0.25">
      <c r="A246" s="105">
        <v>8</v>
      </c>
      <c r="B246" s="105" t="s">
        <v>208</v>
      </c>
      <c r="C246" s="105" t="s">
        <v>189</v>
      </c>
      <c r="D246" s="105" t="s">
        <v>210</v>
      </c>
      <c r="E246" s="105" t="s">
        <v>209</v>
      </c>
      <c r="F246" s="105"/>
      <c r="G246" s="105" t="s">
        <v>391</v>
      </c>
      <c r="H246" s="105" t="s">
        <v>392</v>
      </c>
      <c r="I246" s="105" t="s">
        <v>393</v>
      </c>
      <c r="J246" s="201">
        <v>44</v>
      </c>
      <c r="K246" s="105" t="s">
        <v>480</v>
      </c>
      <c r="L246" s="105" t="s">
        <v>658</v>
      </c>
      <c r="M246" s="105" t="s">
        <v>412</v>
      </c>
      <c r="N246" s="105" t="s">
        <v>659</v>
      </c>
    </row>
    <row r="247" spans="1:14" ht="19.5" customHeight="1" x14ac:dyDescent="0.25">
      <c r="A247" s="276" t="s">
        <v>743</v>
      </c>
      <c r="B247" s="260"/>
      <c r="C247" s="260"/>
      <c r="D247" s="260"/>
      <c r="E247" s="260"/>
      <c r="F247" s="260"/>
      <c r="G247" s="260"/>
      <c r="H247" s="260"/>
      <c r="I247" s="260"/>
      <c r="J247" s="260"/>
      <c r="K247" s="260"/>
      <c r="L247" s="260"/>
      <c r="M247" s="260"/>
      <c r="N247" s="261"/>
    </row>
    <row r="248" spans="1:14" ht="18.75" customHeight="1" x14ac:dyDescent="0.25">
      <c r="A248" s="34">
        <v>10</v>
      </c>
      <c r="B248" s="35" t="s">
        <v>208</v>
      </c>
      <c r="C248" s="35" t="s">
        <v>189</v>
      </c>
      <c r="D248" s="35" t="s">
        <v>210</v>
      </c>
      <c r="E248" s="144" t="s">
        <v>209</v>
      </c>
      <c r="F248" s="35"/>
      <c r="G248" s="35" t="s">
        <v>399</v>
      </c>
      <c r="H248" s="35" t="s">
        <v>400</v>
      </c>
      <c r="I248" s="35" t="s">
        <v>372</v>
      </c>
      <c r="J248" s="198">
        <v>34</v>
      </c>
      <c r="K248" s="35" t="s">
        <v>480</v>
      </c>
      <c r="L248" s="35" t="s">
        <v>658</v>
      </c>
      <c r="M248" s="35" t="s">
        <v>412</v>
      </c>
      <c r="N248" s="35" t="s">
        <v>659</v>
      </c>
    </row>
    <row r="249" spans="1:14" ht="18.75" customHeight="1" x14ac:dyDescent="0.25">
      <c r="A249" s="139">
        <v>11</v>
      </c>
      <c r="B249" s="140" t="s">
        <v>208</v>
      </c>
      <c r="C249" s="140" t="s">
        <v>189</v>
      </c>
      <c r="D249" s="140" t="s">
        <v>210</v>
      </c>
      <c r="E249" s="145" t="s">
        <v>209</v>
      </c>
      <c r="F249" s="140"/>
      <c r="G249" s="140" t="s">
        <v>402</v>
      </c>
      <c r="H249" s="140" t="s">
        <v>403</v>
      </c>
      <c r="I249" s="140" t="s">
        <v>404</v>
      </c>
      <c r="J249" s="217">
        <v>31</v>
      </c>
      <c r="K249" s="140" t="s">
        <v>36</v>
      </c>
      <c r="L249" s="140" t="s">
        <v>663</v>
      </c>
      <c r="M249" s="140" t="s">
        <v>209</v>
      </c>
      <c r="N249" s="140" t="s">
        <v>657</v>
      </c>
    </row>
    <row r="250" spans="1:14" ht="18.75" customHeight="1" x14ac:dyDescent="0.25">
      <c r="A250" s="139">
        <v>12</v>
      </c>
      <c r="B250" s="140" t="s">
        <v>208</v>
      </c>
      <c r="C250" s="140" t="s">
        <v>189</v>
      </c>
      <c r="D250" s="140" t="s">
        <v>210</v>
      </c>
      <c r="E250" s="145" t="s">
        <v>209</v>
      </c>
      <c r="F250" s="140"/>
      <c r="G250" s="140" t="s">
        <v>406</v>
      </c>
      <c r="H250" s="140" t="s">
        <v>407</v>
      </c>
      <c r="I250" s="140" t="s">
        <v>367</v>
      </c>
      <c r="J250" s="217">
        <v>38</v>
      </c>
      <c r="K250" s="140" t="s">
        <v>480</v>
      </c>
      <c r="L250" s="140" t="s">
        <v>658</v>
      </c>
      <c r="M250" s="140" t="s">
        <v>412</v>
      </c>
      <c r="N250" s="140" t="s">
        <v>659</v>
      </c>
    </row>
    <row r="251" spans="1:14" ht="18.75" customHeight="1" x14ac:dyDescent="0.25">
      <c r="A251" s="139">
        <v>13</v>
      </c>
      <c r="B251" s="140" t="s">
        <v>208</v>
      </c>
      <c r="C251" s="140" t="s">
        <v>189</v>
      </c>
      <c r="D251" s="140" t="s">
        <v>210</v>
      </c>
      <c r="E251" s="145" t="s">
        <v>209</v>
      </c>
      <c r="F251" s="140"/>
      <c r="G251" s="140" t="s">
        <v>409</v>
      </c>
      <c r="H251" s="140" t="s">
        <v>410</v>
      </c>
      <c r="I251" s="140" t="s">
        <v>360</v>
      </c>
      <c r="J251" s="217">
        <v>43</v>
      </c>
      <c r="K251" s="140" t="s">
        <v>36</v>
      </c>
      <c r="L251" s="140" t="s">
        <v>664</v>
      </c>
      <c r="M251" s="140" t="s">
        <v>209</v>
      </c>
      <c r="N251" s="140" t="s">
        <v>657</v>
      </c>
    </row>
    <row r="252" spans="1:14" ht="18.75" customHeight="1" x14ac:dyDescent="0.25">
      <c r="A252" s="139">
        <v>14</v>
      </c>
      <c r="B252" s="140" t="s">
        <v>208</v>
      </c>
      <c r="C252" s="140" t="s">
        <v>189</v>
      </c>
      <c r="D252" s="140" t="s">
        <v>210</v>
      </c>
      <c r="E252" s="145" t="s">
        <v>209</v>
      </c>
      <c r="F252" s="140"/>
      <c r="G252" s="140" t="s">
        <v>415</v>
      </c>
      <c r="H252" s="140" t="s">
        <v>416</v>
      </c>
      <c r="I252" s="140" t="s">
        <v>385</v>
      </c>
      <c r="J252" s="217">
        <v>19</v>
      </c>
      <c r="K252" s="140" t="s">
        <v>36</v>
      </c>
      <c r="L252" s="140" t="s">
        <v>665</v>
      </c>
      <c r="M252" s="140" t="s">
        <v>209</v>
      </c>
      <c r="N252" s="140" t="s">
        <v>657</v>
      </c>
    </row>
    <row r="253" spans="1:14" ht="18.75" customHeight="1" x14ac:dyDescent="0.25">
      <c r="A253" s="139">
        <v>15</v>
      </c>
      <c r="B253" s="140" t="s">
        <v>208</v>
      </c>
      <c r="C253" s="140" t="s">
        <v>189</v>
      </c>
      <c r="D253" s="140" t="s">
        <v>210</v>
      </c>
      <c r="E253" s="145" t="s">
        <v>209</v>
      </c>
      <c r="F253" s="140"/>
      <c r="G253" s="140" t="s">
        <v>418</v>
      </c>
      <c r="H253" s="140" t="s">
        <v>419</v>
      </c>
      <c r="I253" s="140" t="s">
        <v>421</v>
      </c>
      <c r="J253" s="217">
        <v>42</v>
      </c>
      <c r="K253" s="140" t="s">
        <v>480</v>
      </c>
      <c r="L253" s="140" t="s">
        <v>658</v>
      </c>
      <c r="M253" s="140" t="s">
        <v>412</v>
      </c>
      <c r="N253" s="140" t="s">
        <v>659</v>
      </c>
    </row>
    <row r="254" spans="1:14" ht="18.75" customHeight="1" x14ac:dyDescent="0.25">
      <c r="A254" s="139">
        <v>16</v>
      </c>
      <c r="B254" s="140" t="s">
        <v>208</v>
      </c>
      <c r="C254" s="140" t="s">
        <v>189</v>
      </c>
      <c r="D254" s="140" t="s">
        <v>210</v>
      </c>
      <c r="E254" s="145" t="s">
        <v>209</v>
      </c>
      <c r="F254" s="140"/>
      <c r="G254" s="140" t="s">
        <v>423</v>
      </c>
      <c r="H254" s="140" t="s">
        <v>424</v>
      </c>
      <c r="I254" s="140" t="s">
        <v>425</v>
      </c>
      <c r="J254" s="217">
        <v>17</v>
      </c>
      <c r="K254" s="140" t="s">
        <v>36</v>
      </c>
      <c r="L254" s="140" t="s">
        <v>666</v>
      </c>
      <c r="M254" s="140" t="s">
        <v>209</v>
      </c>
      <c r="N254" s="140" t="s">
        <v>657</v>
      </c>
    </row>
    <row r="255" spans="1:14" ht="18.75" customHeight="1" x14ac:dyDescent="0.25">
      <c r="A255" s="139">
        <v>17</v>
      </c>
      <c r="B255" s="140" t="s">
        <v>208</v>
      </c>
      <c r="C255" s="140" t="s">
        <v>189</v>
      </c>
      <c r="D255" s="140" t="s">
        <v>210</v>
      </c>
      <c r="E255" s="145" t="s">
        <v>209</v>
      </c>
      <c r="F255" s="140"/>
      <c r="G255" s="140" t="s">
        <v>427</v>
      </c>
      <c r="H255" s="140" t="s">
        <v>428</v>
      </c>
      <c r="I255" s="140" t="s">
        <v>429</v>
      </c>
      <c r="J255" s="217">
        <v>23</v>
      </c>
      <c r="K255" s="140" t="s">
        <v>480</v>
      </c>
      <c r="L255" s="140" t="s">
        <v>658</v>
      </c>
      <c r="M255" s="140" t="s">
        <v>412</v>
      </c>
      <c r="N255" s="140" t="s">
        <v>659</v>
      </c>
    </row>
    <row r="256" spans="1:14" ht="18.75" customHeight="1" x14ac:dyDescent="0.25">
      <c r="A256" s="139">
        <v>18</v>
      </c>
      <c r="B256" s="140" t="s">
        <v>208</v>
      </c>
      <c r="C256" s="140" t="s">
        <v>189</v>
      </c>
      <c r="D256" s="140" t="s">
        <v>210</v>
      </c>
      <c r="E256" s="145" t="s">
        <v>209</v>
      </c>
      <c r="F256" s="140"/>
      <c r="G256" s="140" t="s">
        <v>431</v>
      </c>
      <c r="H256" s="140" t="s">
        <v>432</v>
      </c>
      <c r="I256" s="140" t="s">
        <v>360</v>
      </c>
      <c r="J256" s="217">
        <v>39</v>
      </c>
      <c r="K256" s="140" t="s">
        <v>36</v>
      </c>
      <c r="L256" s="140" t="s">
        <v>667</v>
      </c>
      <c r="M256" s="140" t="s">
        <v>209</v>
      </c>
      <c r="N256" s="140" t="s">
        <v>657</v>
      </c>
    </row>
    <row r="257" spans="1:14" ht="18.75" customHeight="1" x14ac:dyDescent="0.25">
      <c r="A257" s="139">
        <v>19</v>
      </c>
      <c r="B257" s="140" t="s">
        <v>208</v>
      </c>
      <c r="C257" s="140" t="s">
        <v>189</v>
      </c>
      <c r="D257" s="140" t="s">
        <v>210</v>
      </c>
      <c r="E257" s="145" t="s">
        <v>209</v>
      </c>
      <c r="F257" s="140"/>
      <c r="G257" s="140" t="s">
        <v>434</v>
      </c>
      <c r="H257" s="140" t="s">
        <v>435</v>
      </c>
      <c r="I257" s="140" t="s">
        <v>436</v>
      </c>
      <c r="J257" s="217">
        <v>40</v>
      </c>
      <c r="K257" s="140" t="s">
        <v>480</v>
      </c>
      <c r="L257" s="140" t="s">
        <v>658</v>
      </c>
      <c r="M257" s="140" t="s">
        <v>412</v>
      </c>
      <c r="N257" s="140" t="s">
        <v>659</v>
      </c>
    </row>
    <row r="258" spans="1:14" ht="18.75" customHeight="1" x14ac:dyDescent="0.25">
      <c r="A258" s="139">
        <v>20</v>
      </c>
      <c r="B258" s="140" t="s">
        <v>208</v>
      </c>
      <c r="C258" s="140" t="s">
        <v>189</v>
      </c>
      <c r="D258" s="140" t="s">
        <v>210</v>
      </c>
      <c r="E258" s="145" t="s">
        <v>209</v>
      </c>
      <c r="F258" s="140"/>
      <c r="G258" s="140" t="s">
        <v>438</v>
      </c>
      <c r="H258" s="140" t="s">
        <v>439</v>
      </c>
      <c r="I258" s="140" t="s">
        <v>440</v>
      </c>
      <c r="J258" s="217">
        <v>42</v>
      </c>
      <c r="K258" s="140" t="s">
        <v>36</v>
      </c>
      <c r="L258" s="140" t="s">
        <v>668</v>
      </c>
      <c r="M258" s="140" t="s">
        <v>209</v>
      </c>
      <c r="N258" s="140" t="s">
        <v>657</v>
      </c>
    </row>
    <row r="259" spans="1:14" ht="18.75" customHeight="1" x14ac:dyDescent="0.25">
      <c r="A259" s="139">
        <v>21</v>
      </c>
      <c r="B259" s="140" t="s">
        <v>208</v>
      </c>
      <c r="C259" s="140" t="s">
        <v>189</v>
      </c>
      <c r="D259" s="140" t="s">
        <v>210</v>
      </c>
      <c r="E259" s="145" t="s">
        <v>209</v>
      </c>
      <c r="F259" s="140"/>
      <c r="G259" s="140" t="s">
        <v>442</v>
      </c>
      <c r="H259" s="140" t="s">
        <v>443</v>
      </c>
      <c r="I259" s="140" t="s">
        <v>381</v>
      </c>
      <c r="J259" s="217">
        <v>28</v>
      </c>
      <c r="K259" s="140" t="s">
        <v>480</v>
      </c>
      <c r="L259" s="140" t="s">
        <v>658</v>
      </c>
      <c r="M259" s="140" t="s">
        <v>412</v>
      </c>
      <c r="N259" s="140" t="s">
        <v>659</v>
      </c>
    </row>
    <row r="260" spans="1:14" ht="18.75" customHeight="1" x14ac:dyDescent="0.25">
      <c r="A260" s="139">
        <v>22</v>
      </c>
      <c r="B260" s="140" t="s">
        <v>208</v>
      </c>
      <c r="C260" s="140" t="s">
        <v>189</v>
      </c>
      <c r="D260" s="140" t="s">
        <v>210</v>
      </c>
      <c r="E260" s="145" t="s">
        <v>209</v>
      </c>
      <c r="F260" s="140"/>
      <c r="G260" s="140" t="s">
        <v>445</v>
      </c>
      <c r="H260" s="140" t="s">
        <v>446</v>
      </c>
      <c r="I260" s="140" t="s">
        <v>372</v>
      </c>
      <c r="J260" s="217">
        <v>25</v>
      </c>
      <c r="K260" s="140" t="s">
        <v>36</v>
      </c>
      <c r="L260" s="140" t="s">
        <v>669</v>
      </c>
      <c r="M260" s="140" t="s">
        <v>209</v>
      </c>
      <c r="N260" s="140" t="s">
        <v>657</v>
      </c>
    </row>
    <row r="261" spans="1:14" ht="18.75" customHeight="1" x14ac:dyDescent="0.25">
      <c r="A261" s="139">
        <v>23</v>
      </c>
      <c r="B261" s="140" t="s">
        <v>208</v>
      </c>
      <c r="C261" s="140" t="s">
        <v>189</v>
      </c>
      <c r="D261" s="140" t="s">
        <v>210</v>
      </c>
      <c r="E261" s="145" t="s">
        <v>209</v>
      </c>
      <c r="F261" s="140"/>
      <c r="G261" s="140" t="s">
        <v>449</v>
      </c>
      <c r="H261" s="140" t="s">
        <v>450</v>
      </c>
      <c r="I261" s="140" t="s">
        <v>451</v>
      </c>
      <c r="J261" s="217">
        <v>44</v>
      </c>
      <c r="K261" s="140" t="s">
        <v>36</v>
      </c>
      <c r="L261" s="140" t="s">
        <v>670</v>
      </c>
      <c r="M261" s="140" t="s">
        <v>209</v>
      </c>
      <c r="N261" s="140" t="s">
        <v>657</v>
      </c>
    </row>
    <row r="262" spans="1:14" ht="18.75" customHeight="1" x14ac:dyDescent="0.25">
      <c r="A262" s="139">
        <v>24</v>
      </c>
      <c r="B262" s="140" t="s">
        <v>208</v>
      </c>
      <c r="C262" s="140" t="s">
        <v>189</v>
      </c>
      <c r="D262" s="140" t="s">
        <v>210</v>
      </c>
      <c r="E262" s="145" t="s">
        <v>209</v>
      </c>
      <c r="F262" s="140"/>
      <c r="G262" s="140" t="s">
        <v>453</v>
      </c>
      <c r="H262" s="140" t="s">
        <v>454</v>
      </c>
      <c r="I262" s="140" t="s">
        <v>455</v>
      </c>
      <c r="J262" s="217">
        <v>40</v>
      </c>
      <c r="K262" s="140" t="s">
        <v>480</v>
      </c>
      <c r="L262" s="140" t="s">
        <v>658</v>
      </c>
      <c r="M262" s="140" t="s">
        <v>412</v>
      </c>
      <c r="N262" s="140" t="s">
        <v>659</v>
      </c>
    </row>
    <row r="263" spans="1:14" ht="18.75" customHeight="1" x14ac:dyDescent="0.25">
      <c r="A263" s="139">
        <v>25</v>
      </c>
      <c r="B263" s="140" t="s">
        <v>208</v>
      </c>
      <c r="C263" s="140" t="s">
        <v>189</v>
      </c>
      <c r="D263" s="140" t="s">
        <v>210</v>
      </c>
      <c r="E263" s="145" t="s">
        <v>209</v>
      </c>
      <c r="F263" s="140"/>
      <c r="G263" s="140" t="s">
        <v>457</v>
      </c>
      <c r="H263" s="140" t="s">
        <v>458</v>
      </c>
      <c r="I263" s="140" t="s">
        <v>459</v>
      </c>
      <c r="J263" s="217">
        <v>31</v>
      </c>
      <c r="K263" s="140" t="s">
        <v>36</v>
      </c>
      <c r="L263" s="140" t="s">
        <v>671</v>
      </c>
      <c r="M263" s="140" t="s">
        <v>209</v>
      </c>
      <c r="N263" s="140" t="s">
        <v>657</v>
      </c>
    </row>
    <row r="264" spans="1:14" ht="18.75" customHeight="1" x14ac:dyDescent="0.25">
      <c r="A264" s="139" t="s">
        <v>744</v>
      </c>
      <c r="B264" s="140" t="s">
        <v>208</v>
      </c>
      <c r="C264" s="140" t="s">
        <v>189</v>
      </c>
      <c r="D264" s="140" t="s">
        <v>210</v>
      </c>
      <c r="E264" s="145" t="s">
        <v>209</v>
      </c>
      <c r="F264" s="140"/>
      <c r="G264" s="140" t="s">
        <v>689</v>
      </c>
      <c r="H264" s="140" t="s">
        <v>428</v>
      </c>
      <c r="I264" s="140" t="s">
        <v>690</v>
      </c>
      <c r="J264" s="217">
        <v>23</v>
      </c>
      <c r="K264" s="140"/>
      <c r="L264" s="140"/>
      <c r="M264" s="140"/>
      <c r="N264" s="140"/>
    </row>
    <row r="265" spans="1:14" ht="18.75" customHeight="1" x14ac:dyDescent="0.25">
      <c r="A265" s="139">
        <v>1</v>
      </c>
      <c r="B265" s="140" t="s">
        <v>211</v>
      </c>
      <c r="C265" s="140" t="s">
        <v>76</v>
      </c>
      <c r="D265" s="140" t="s">
        <v>212</v>
      </c>
      <c r="E265" s="145" t="s">
        <v>209</v>
      </c>
      <c r="F265" s="140"/>
      <c r="G265" s="140" t="s">
        <v>353</v>
      </c>
      <c r="H265" s="140" t="s">
        <v>354</v>
      </c>
      <c r="I265" s="140" t="s">
        <v>360</v>
      </c>
      <c r="J265" s="217">
        <v>5</v>
      </c>
      <c r="K265" s="140" t="s">
        <v>36</v>
      </c>
      <c r="L265" s="140" t="s">
        <v>656</v>
      </c>
      <c r="M265" s="140" t="s">
        <v>209</v>
      </c>
      <c r="N265" s="140" t="s">
        <v>657</v>
      </c>
    </row>
    <row r="266" spans="1:14" ht="18.75" customHeight="1" x14ac:dyDescent="0.25">
      <c r="A266" s="139">
        <v>2</v>
      </c>
      <c r="B266" s="140" t="s">
        <v>211</v>
      </c>
      <c r="C266" s="140" t="s">
        <v>76</v>
      </c>
      <c r="D266" s="140" t="s">
        <v>212</v>
      </c>
      <c r="E266" s="145" t="s">
        <v>209</v>
      </c>
      <c r="F266" s="140"/>
      <c r="G266" s="140" t="s">
        <v>363</v>
      </c>
      <c r="H266" s="140" t="s">
        <v>364</v>
      </c>
      <c r="I266" s="140" t="s">
        <v>367</v>
      </c>
      <c r="J266" s="217">
        <v>14</v>
      </c>
      <c r="K266" s="140" t="s">
        <v>480</v>
      </c>
      <c r="L266" s="140" t="s">
        <v>658</v>
      </c>
      <c r="M266" s="140" t="s">
        <v>412</v>
      </c>
      <c r="N266" s="140" t="s">
        <v>659</v>
      </c>
    </row>
    <row r="267" spans="1:14" ht="18.75" customHeight="1" x14ac:dyDescent="0.25">
      <c r="A267" s="139">
        <v>3</v>
      </c>
      <c r="B267" s="140" t="s">
        <v>211</v>
      </c>
      <c r="C267" s="140" t="s">
        <v>76</v>
      </c>
      <c r="D267" s="140" t="s">
        <v>212</v>
      </c>
      <c r="E267" s="145" t="s">
        <v>209</v>
      </c>
      <c r="F267" s="140"/>
      <c r="G267" s="140" t="s">
        <v>369</v>
      </c>
      <c r="H267" s="140" t="s">
        <v>370</v>
      </c>
      <c r="I267" s="140" t="s">
        <v>372</v>
      </c>
      <c r="J267" s="217">
        <v>14</v>
      </c>
      <c r="K267" s="140" t="s">
        <v>480</v>
      </c>
      <c r="L267" s="140" t="s">
        <v>658</v>
      </c>
      <c r="M267" s="140" t="s">
        <v>412</v>
      </c>
      <c r="N267" s="140" t="s">
        <v>659</v>
      </c>
    </row>
    <row r="268" spans="1:14" ht="18.75" customHeight="1" x14ac:dyDescent="0.25">
      <c r="A268" s="139">
        <v>4</v>
      </c>
      <c r="B268" s="140" t="s">
        <v>211</v>
      </c>
      <c r="C268" s="140" t="s">
        <v>76</v>
      </c>
      <c r="D268" s="140" t="s">
        <v>212</v>
      </c>
      <c r="E268" s="145" t="s">
        <v>209</v>
      </c>
      <c r="F268" s="140"/>
      <c r="G268" s="140" t="s">
        <v>374</v>
      </c>
      <c r="H268" s="140" t="s">
        <v>375</v>
      </c>
      <c r="I268" s="140" t="s">
        <v>377</v>
      </c>
      <c r="J268" s="217">
        <v>20</v>
      </c>
      <c r="K268" s="140" t="s">
        <v>36</v>
      </c>
      <c r="L268" s="140" t="s">
        <v>660</v>
      </c>
      <c r="M268" s="140" t="s">
        <v>209</v>
      </c>
      <c r="N268" s="140" t="s">
        <v>657</v>
      </c>
    </row>
    <row r="269" spans="1:14" ht="18.75" customHeight="1" x14ac:dyDescent="0.25">
      <c r="A269" s="139">
        <v>5</v>
      </c>
      <c r="B269" s="140" t="s">
        <v>211</v>
      </c>
      <c r="C269" s="140" t="s">
        <v>76</v>
      </c>
      <c r="D269" s="140" t="s">
        <v>212</v>
      </c>
      <c r="E269" s="145" t="s">
        <v>209</v>
      </c>
      <c r="F269" s="140"/>
      <c r="G269" s="140" t="s">
        <v>379</v>
      </c>
      <c r="H269" s="140" t="s">
        <v>380</v>
      </c>
      <c r="I269" s="140" t="s">
        <v>381</v>
      </c>
      <c r="J269" s="217">
        <v>9</v>
      </c>
      <c r="K269" s="140" t="s">
        <v>480</v>
      </c>
      <c r="L269" s="140" t="s">
        <v>658</v>
      </c>
      <c r="M269" s="140" t="s">
        <v>412</v>
      </c>
      <c r="N269" s="140" t="s">
        <v>659</v>
      </c>
    </row>
    <row r="270" spans="1:14" ht="18.75" customHeight="1" x14ac:dyDescent="0.25">
      <c r="A270" s="139">
        <v>6</v>
      </c>
      <c r="B270" s="140" t="s">
        <v>211</v>
      </c>
      <c r="C270" s="140" t="s">
        <v>76</v>
      </c>
      <c r="D270" s="140" t="s">
        <v>212</v>
      </c>
      <c r="E270" s="145" t="s">
        <v>209</v>
      </c>
      <c r="F270" s="140"/>
      <c r="G270" s="140" t="s">
        <v>383</v>
      </c>
      <c r="H270" s="140" t="s">
        <v>384</v>
      </c>
      <c r="I270" s="140" t="s">
        <v>385</v>
      </c>
      <c r="J270" s="217">
        <v>19</v>
      </c>
      <c r="K270" s="140" t="s">
        <v>36</v>
      </c>
      <c r="L270" s="140" t="s">
        <v>661</v>
      </c>
      <c r="M270" s="140" t="s">
        <v>209</v>
      </c>
      <c r="N270" s="140" t="s">
        <v>657</v>
      </c>
    </row>
    <row r="271" spans="1:14" ht="18.75" customHeight="1" x14ac:dyDescent="0.25">
      <c r="A271" s="139">
        <v>7</v>
      </c>
      <c r="B271" s="140" t="s">
        <v>211</v>
      </c>
      <c r="C271" s="140" t="s">
        <v>76</v>
      </c>
      <c r="D271" s="140" t="s">
        <v>212</v>
      </c>
      <c r="E271" s="145" t="s">
        <v>209</v>
      </c>
      <c r="F271" s="140"/>
      <c r="G271" s="140" t="s">
        <v>387</v>
      </c>
      <c r="H271" s="140" t="s">
        <v>388</v>
      </c>
      <c r="I271" s="140" t="s">
        <v>389</v>
      </c>
      <c r="J271" s="217">
        <v>20</v>
      </c>
      <c r="K271" s="140" t="s">
        <v>480</v>
      </c>
      <c r="L271" s="140" t="s">
        <v>658</v>
      </c>
      <c r="M271" s="140" t="s">
        <v>412</v>
      </c>
      <c r="N271" s="140" t="s">
        <v>659</v>
      </c>
    </row>
    <row r="272" spans="1:14" ht="18.75" customHeight="1" x14ac:dyDescent="0.25">
      <c r="A272" s="139">
        <v>8</v>
      </c>
      <c r="B272" s="140" t="s">
        <v>211</v>
      </c>
      <c r="C272" s="140" t="s">
        <v>76</v>
      </c>
      <c r="D272" s="140" t="s">
        <v>212</v>
      </c>
      <c r="E272" s="145" t="s">
        <v>209</v>
      </c>
      <c r="F272" s="140"/>
      <c r="G272" s="140" t="s">
        <v>391</v>
      </c>
      <c r="H272" s="140" t="s">
        <v>392</v>
      </c>
      <c r="I272" s="140" t="s">
        <v>393</v>
      </c>
      <c r="J272" s="217">
        <v>16</v>
      </c>
      <c r="K272" s="140" t="s">
        <v>480</v>
      </c>
      <c r="L272" s="140" t="s">
        <v>658</v>
      </c>
      <c r="M272" s="140" t="s">
        <v>412</v>
      </c>
      <c r="N272" s="140" t="s">
        <v>659</v>
      </c>
    </row>
    <row r="273" spans="1:14" ht="4.5" customHeight="1" x14ac:dyDescent="0.25">
      <c r="A273" s="105">
        <v>9</v>
      </c>
      <c r="B273" s="105" t="s">
        <v>211</v>
      </c>
      <c r="C273" s="105" t="s">
        <v>76</v>
      </c>
      <c r="D273" s="105" t="s">
        <v>212</v>
      </c>
      <c r="E273" s="105" t="s">
        <v>209</v>
      </c>
      <c r="F273" s="105"/>
      <c r="G273" s="105" t="s">
        <v>395</v>
      </c>
      <c r="H273" s="105" t="s">
        <v>396</v>
      </c>
      <c r="I273" s="105" t="s">
        <v>360</v>
      </c>
      <c r="J273" s="201">
        <v>15</v>
      </c>
      <c r="K273" s="105" t="s">
        <v>36</v>
      </c>
      <c r="L273" s="105" t="s">
        <v>662</v>
      </c>
      <c r="M273" s="105" t="s">
        <v>209</v>
      </c>
      <c r="N273" s="105" t="s">
        <v>657</v>
      </c>
    </row>
    <row r="274" spans="1:14" ht="19.5" customHeight="1" x14ac:dyDescent="0.25">
      <c r="A274" s="276" t="s">
        <v>744</v>
      </c>
      <c r="B274" s="260"/>
      <c r="C274" s="260"/>
      <c r="D274" s="260"/>
      <c r="E274" s="260"/>
      <c r="F274" s="260"/>
      <c r="G274" s="260"/>
      <c r="H274" s="260"/>
      <c r="I274" s="260"/>
      <c r="J274" s="260"/>
      <c r="K274" s="260"/>
      <c r="L274" s="260"/>
      <c r="M274" s="260"/>
      <c r="N274" s="261"/>
    </row>
    <row r="275" spans="1:14" ht="18.75" customHeight="1" x14ac:dyDescent="0.25">
      <c r="A275" s="34">
        <v>11</v>
      </c>
      <c r="B275" s="35" t="s">
        <v>211</v>
      </c>
      <c r="C275" s="35" t="s">
        <v>76</v>
      </c>
      <c r="D275" s="35" t="s">
        <v>212</v>
      </c>
      <c r="E275" s="144" t="s">
        <v>209</v>
      </c>
      <c r="F275" s="35"/>
      <c r="G275" s="35" t="s">
        <v>402</v>
      </c>
      <c r="H275" s="35" t="s">
        <v>403</v>
      </c>
      <c r="I275" s="35" t="s">
        <v>404</v>
      </c>
      <c r="J275" s="198">
        <v>17</v>
      </c>
      <c r="K275" s="35" t="s">
        <v>36</v>
      </c>
      <c r="L275" s="35" t="s">
        <v>663</v>
      </c>
      <c r="M275" s="35" t="s">
        <v>209</v>
      </c>
      <c r="N275" s="35" t="s">
        <v>657</v>
      </c>
    </row>
    <row r="276" spans="1:14" ht="18.75" customHeight="1" x14ac:dyDescent="0.25">
      <c r="A276" s="136">
        <v>12</v>
      </c>
      <c r="B276" s="137" t="s">
        <v>211</v>
      </c>
      <c r="C276" s="137" t="s">
        <v>76</v>
      </c>
      <c r="D276" s="137" t="s">
        <v>212</v>
      </c>
      <c r="E276" s="146" t="s">
        <v>209</v>
      </c>
      <c r="F276" s="137"/>
      <c r="G276" s="137" t="s">
        <v>406</v>
      </c>
      <c r="H276" s="137" t="s">
        <v>407</v>
      </c>
      <c r="I276" s="137" t="s">
        <v>367</v>
      </c>
      <c r="J276" s="216">
        <v>19</v>
      </c>
      <c r="K276" s="137" t="s">
        <v>480</v>
      </c>
      <c r="L276" s="137" t="s">
        <v>658</v>
      </c>
      <c r="M276" s="137" t="s">
        <v>412</v>
      </c>
      <c r="N276" s="137" t="s">
        <v>659</v>
      </c>
    </row>
    <row r="277" spans="1:14" ht="18.75" customHeight="1" x14ac:dyDescent="0.25">
      <c r="A277" s="136">
        <v>13</v>
      </c>
      <c r="B277" s="137" t="s">
        <v>211</v>
      </c>
      <c r="C277" s="137" t="s">
        <v>76</v>
      </c>
      <c r="D277" s="137" t="s">
        <v>212</v>
      </c>
      <c r="E277" s="146" t="s">
        <v>209</v>
      </c>
      <c r="F277" s="137"/>
      <c r="G277" s="137" t="s">
        <v>409</v>
      </c>
      <c r="H277" s="137" t="s">
        <v>410</v>
      </c>
      <c r="I277" s="137" t="s">
        <v>360</v>
      </c>
      <c r="J277" s="216">
        <v>15</v>
      </c>
      <c r="K277" s="137" t="s">
        <v>36</v>
      </c>
      <c r="L277" s="137" t="s">
        <v>664</v>
      </c>
      <c r="M277" s="137" t="s">
        <v>209</v>
      </c>
      <c r="N277" s="137" t="s">
        <v>657</v>
      </c>
    </row>
    <row r="278" spans="1:14" ht="18.75" customHeight="1" x14ac:dyDescent="0.25">
      <c r="A278" s="136">
        <v>14</v>
      </c>
      <c r="B278" s="137" t="s">
        <v>211</v>
      </c>
      <c r="C278" s="137" t="s">
        <v>76</v>
      </c>
      <c r="D278" s="137" t="s">
        <v>212</v>
      </c>
      <c r="E278" s="146" t="s">
        <v>209</v>
      </c>
      <c r="F278" s="137"/>
      <c r="G278" s="137" t="s">
        <v>415</v>
      </c>
      <c r="H278" s="137" t="s">
        <v>416</v>
      </c>
      <c r="I278" s="137" t="s">
        <v>385</v>
      </c>
      <c r="J278" s="216">
        <v>11</v>
      </c>
      <c r="K278" s="137" t="s">
        <v>36</v>
      </c>
      <c r="L278" s="137" t="s">
        <v>665</v>
      </c>
      <c r="M278" s="137" t="s">
        <v>209</v>
      </c>
      <c r="N278" s="137" t="s">
        <v>657</v>
      </c>
    </row>
    <row r="279" spans="1:14" ht="18.75" customHeight="1" x14ac:dyDescent="0.25">
      <c r="A279" s="136">
        <v>15</v>
      </c>
      <c r="B279" s="137" t="s">
        <v>211</v>
      </c>
      <c r="C279" s="137" t="s">
        <v>76</v>
      </c>
      <c r="D279" s="137" t="s">
        <v>212</v>
      </c>
      <c r="E279" s="146" t="s">
        <v>209</v>
      </c>
      <c r="F279" s="137"/>
      <c r="G279" s="137" t="s">
        <v>418</v>
      </c>
      <c r="H279" s="137" t="s">
        <v>419</v>
      </c>
      <c r="I279" s="137" t="s">
        <v>421</v>
      </c>
      <c r="J279" s="216">
        <v>12</v>
      </c>
      <c r="K279" s="137" t="s">
        <v>480</v>
      </c>
      <c r="L279" s="137" t="s">
        <v>658</v>
      </c>
      <c r="M279" s="137" t="s">
        <v>412</v>
      </c>
      <c r="N279" s="137" t="s">
        <v>659</v>
      </c>
    </row>
    <row r="280" spans="1:14" ht="18.75" customHeight="1" x14ac:dyDescent="0.25">
      <c r="A280" s="136">
        <v>16</v>
      </c>
      <c r="B280" s="137" t="s">
        <v>211</v>
      </c>
      <c r="C280" s="137" t="s">
        <v>76</v>
      </c>
      <c r="D280" s="137" t="s">
        <v>212</v>
      </c>
      <c r="E280" s="146" t="s">
        <v>209</v>
      </c>
      <c r="F280" s="137"/>
      <c r="G280" s="137" t="s">
        <v>423</v>
      </c>
      <c r="H280" s="137" t="s">
        <v>424</v>
      </c>
      <c r="I280" s="137" t="s">
        <v>425</v>
      </c>
      <c r="J280" s="216">
        <v>17</v>
      </c>
      <c r="K280" s="137" t="s">
        <v>36</v>
      </c>
      <c r="L280" s="137" t="s">
        <v>666</v>
      </c>
      <c r="M280" s="137" t="s">
        <v>209</v>
      </c>
      <c r="N280" s="137" t="s">
        <v>657</v>
      </c>
    </row>
    <row r="281" spans="1:14" ht="18.75" customHeight="1" x14ac:dyDescent="0.25">
      <c r="A281" s="136">
        <v>17</v>
      </c>
      <c r="B281" s="137" t="s">
        <v>211</v>
      </c>
      <c r="C281" s="137" t="s">
        <v>76</v>
      </c>
      <c r="D281" s="137" t="s">
        <v>212</v>
      </c>
      <c r="E281" s="146" t="s">
        <v>209</v>
      </c>
      <c r="F281" s="137"/>
      <c r="G281" s="137" t="s">
        <v>427</v>
      </c>
      <c r="H281" s="137" t="s">
        <v>428</v>
      </c>
      <c r="I281" s="137" t="s">
        <v>429</v>
      </c>
      <c r="J281" s="216">
        <v>12</v>
      </c>
      <c r="K281" s="137" t="s">
        <v>480</v>
      </c>
      <c r="L281" s="137" t="s">
        <v>658</v>
      </c>
      <c r="M281" s="137" t="s">
        <v>412</v>
      </c>
      <c r="N281" s="137" t="s">
        <v>659</v>
      </c>
    </row>
    <row r="282" spans="1:14" ht="18.75" customHeight="1" x14ac:dyDescent="0.25">
      <c r="A282" s="136">
        <v>18</v>
      </c>
      <c r="B282" s="137" t="s">
        <v>211</v>
      </c>
      <c r="C282" s="137" t="s">
        <v>76</v>
      </c>
      <c r="D282" s="137" t="s">
        <v>212</v>
      </c>
      <c r="E282" s="146" t="s">
        <v>209</v>
      </c>
      <c r="F282" s="137"/>
      <c r="G282" s="137" t="s">
        <v>431</v>
      </c>
      <c r="H282" s="137" t="s">
        <v>432</v>
      </c>
      <c r="I282" s="137" t="s">
        <v>360</v>
      </c>
      <c r="J282" s="216">
        <v>18</v>
      </c>
      <c r="K282" s="137" t="s">
        <v>36</v>
      </c>
      <c r="L282" s="137" t="s">
        <v>667</v>
      </c>
      <c r="M282" s="137" t="s">
        <v>209</v>
      </c>
      <c r="N282" s="137" t="s">
        <v>657</v>
      </c>
    </row>
    <row r="283" spans="1:14" ht="18.75" customHeight="1" x14ac:dyDescent="0.25">
      <c r="A283" s="136">
        <v>19</v>
      </c>
      <c r="B283" s="137" t="s">
        <v>211</v>
      </c>
      <c r="C283" s="137" t="s">
        <v>76</v>
      </c>
      <c r="D283" s="137" t="s">
        <v>212</v>
      </c>
      <c r="E283" s="146" t="s">
        <v>209</v>
      </c>
      <c r="F283" s="137"/>
      <c r="G283" s="137" t="s">
        <v>434</v>
      </c>
      <c r="H283" s="137" t="s">
        <v>435</v>
      </c>
      <c r="I283" s="137" t="s">
        <v>436</v>
      </c>
      <c r="J283" s="216">
        <v>6</v>
      </c>
      <c r="K283" s="137" t="s">
        <v>480</v>
      </c>
      <c r="L283" s="137" t="s">
        <v>658</v>
      </c>
      <c r="M283" s="137" t="s">
        <v>412</v>
      </c>
      <c r="N283" s="137" t="s">
        <v>659</v>
      </c>
    </row>
    <row r="284" spans="1:14" ht="18.75" customHeight="1" x14ac:dyDescent="0.25">
      <c r="A284" s="136">
        <v>20</v>
      </c>
      <c r="B284" s="137" t="s">
        <v>211</v>
      </c>
      <c r="C284" s="137" t="s">
        <v>76</v>
      </c>
      <c r="D284" s="137" t="s">
        <v>212</v>
      </c>
      <c r="E284" s="146" t="s">
        <v>209</v>
      </c>
      <c r="F284" s="137"/>
      <c r="G284" s="137" t="s">
        <v>438</v>
      </c>
      <c r="H284" s="137" t="s">
        <v>439</v>
      </c>
      <c r="I284" s="137" t="s">
        <v>440</v>
      </c>
      <c r="J284" s="216">
        <v>15</v>
      </c>
      <c r="K284" s="137" t="s">
        <v>36</v>
      </c>
      <c r="L284" s="137" t="s">
        <v>668</v>
      </c>
      <c r="M284" s="137" t="s">
        <v>209</v>
      </c>
      <c r="N284" s="137" t="s">
        <v>657</v>
      </c>
    </row>
    <row r="285" spans="1:14" ht="18.75" customHeight="1" x14ac:dyDescent="0.25">
      <c r="A285" s="136">
        <v>21</v>
      </c>
      <c r="B285" s="137" t="s">
        <v>211</v>
      </c>
      <c r="C285" s="137" t="s">
        <v>76</v>
      </c>
      <c r="D285" s="137" t="s">
        <v>212</v>
      </c>
      <c r="E285" s="146" t="s">
        <v>209</v>
      </c>
      <c r="F285" s="137"/>
      <c r="G285" s="137" t="s">
        <v>442</v>
      </c>
      <c r="H285" s="137" t="s">
        <v>443</v>
      </c>
      <c r="I285" s="137" t="s">
        <v>381</v>
      </c>
      <c r="J285" s="216">
        <v>20</v>
      </c>
      <c r="K285" s="137" t="s">
        <v>480</v>
      </c>
      <c r="L285" s="137" t="s">
        <v>658</v>
      </c>
      <c r="M285" s="137" t="s">
        <v>412</v>
      </c>
      <c r="N285" s="137" t="s">
        <v>659</v>
      </c>
    </row>
    <row r="286" spans="1:14" ht="18.75" customHeight="1" x14ac:dyDescent="0.25">
      <c r="A286" s="136">
        <v>22</v>
      </c>
      <c r="B286" s="137" t="s">
        <v>211</v>
      </c>
      <c r="C286" s="137" t="s">
        <v>76</v>
      </c>
      <c r="D286" s="137" t="s">
        <v>212</v>
      </c>
      <c r="E286" s="146" t="s">
        <v>209</v>
      </c>
      <c r="F286" s="137"/>
      <c r="G286" s="137" t="s">
        <v>445</v>
      </c>
      <c r="H286" s="137" t="s">
        <v>446</v>
      </c>
      <c r="I286" s="137" t="s">
        <v>372</v>
      </c>
      <c r="J286" s="216">
        <v>17</v>
      </c>
      <c r="K286" s="137" t="s">
        <v>36</v>
      </c>
      <c r="L286" s="137" t="s">
        <v>669</v>
      </c>
      <c r="M286" s="137" t="s">
        <v>209</v>
      </c>
      <c r="N286" s="137" t="s">
        <v>657</v>
      </c>
    </row>
    <row r="287" spans="1:14" ht="18.75" customHeight="1" x14ac:dyDescent="0.25">
      <c r="A287" s="136">
        <v>23</v>
      </c>
      <c r="B287" s="137" t="s">
        <v>211</v>
      </c>
      <c r="C287" s="137" t="s">
        <v>76</v>
      </c>
      <c r="D287" s="137" t="s">
        <v>212</v>
      </c>
      <c r="E287" s="146" t="s">
        <v>209</v>
      </c>
      <c r="F287" s="137"/>
      <c r="G287" s="137" t="s">
        <v>449</v>
      </c>
      <c r="H287" s="137" t="s">
        <v>450</v>
      </c>
      <c r="I287" s="137" t="s">
        <v>451</v>
      </c>
      <c r="J287" s="216">
        <v>17</v>
      </c>
      <c r="K287" s="137" t="s">
        <v>36</v>
      </c>
      <c r="L287" s="137" t="s">
        <v>670</v>
      </c>
      <c r="M287" s="137" t="s">
        <v>209</v>
      </c>
      <c r="N287" s="137" t="s">
        <v>657</v>
      </c>
    </row>
    <row r="288" spans="1:14" ht="18.75" customHeight="1" x14ac:dyDescent="0.25">
      <c r="A288" s="136">
        <v>24</v>
      </c>
      <c r="B288" s="137" t="s">
        <v>211</v>
      </c>
      <c r="C288" s="137" t="s">
        <v>76</v>
      </c>
      <c r="D288" s="137" t="s">
        <v>212</v>
      </c>
      <c r="E288" s="146" t="s">
        <v>209</v>
      </c>
      <c r="F288" s="137"/>
      <c r="G288" s="137" t="s">
        <v>453</v>
      </c>
      <c r="H288" s="137" t="s">
        <v>454</v>
      </c>
      <c r="I288" s="137" t="s">
        <v>455</v>
      </c>
      <c r="J288" s="216">
        <v>9</v>
      </c>
      <c r="K288" s="137" t="s">
        <v>480</v>
      </c>
      <c r="L288" s="137" t="s">
        <v>658</v>
      </c>
      <c r="M288" s="137" t="s">
        <v>412</v>
      </c>
      <c r="N288" s="137" t="s">
        <v>659</v>
      </c>
    </row>
    <row r="289" spans="1:14" ht="18.75" customHeight="1" x14ac:dyDescent="0.25">
      <c r="A289" s="136">
        <v>25</v>
      </c>
      <c r="B289" s="137" t="s">
        <v>211</v>
      </c>
      <c r="C289" s="137" t="s">
        <v>76</v>
      </c>
      <c r="D289" s="137" t="s">
        <v>212</v>
      </c>
      <c r="E289" s="146" t="s">
        <v>209</v>
      </c>
      <c r="F289" s="137"/>
      <c r="G289" s="137" t="s">
        <v>457</v>
      </c>
      <c r="H289" s="137" t="s">
        <v>458</v>
      </c>
      <c r="I289" s="137" t="s">
        <v>459</v>
      </c>
      <c r="J289" s="216">
        <v>20</v>
      </c>
      <c r="K289" s="137" t="s">
        <v>36</v>
      </c>
      <c r="L289" s="137" t="s">
        <v>671</v>
      </c>
      <c r="M289" s="137" t="s">
        <v>209</v>
      </c>
      <c r="N289" s="137" t="s">
        <v>657</v>
      </c>
    </row>
    <row r="290" spans="1:14" ht="4.5" customHeight="1" x14ac:dyDescent="0.25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</row>
    <row r="292" spans="1:14" ht="21.95" customHeight="1" x14ac:dyDescent="0.25">
      <c r="A292" s="277" t="s">
        <v>745</v>
      </c>
      <c r="B292" s="237"/>
      <c r="C292" s="237"/>
      <c r="D292" s="237"/>
      <c r="E292" s="237"/>
      <c r="F292" s="237"/>
      <c r="G292" s="237"/>
      <c r="H292" s="237"/>
      <c r="I292" s="237"/>
      <c r="J292" s="237"/>
      <c r="K292" s="237"/>
      <c r="L292" s="237"/>
      <c r="M292" s="237"/>
      <c r="N292" s="237"/>
    </row>
    <row r="293" spans="1:14" ht="35.1" customHeight="1" x14ac:dyDescent="0.25">
      <c r="A293" s="218" t="s">
        <v>17</v>
      </c>
      <c r="B293" s="218" t="s">
        <v>18</v>
      </c>
      <c r="C293" s="218" t="s">
        <v>692</v>
      </c>
      <c r="D293" s="218" t="s">
        <v>693</v>
      </c>
      <c r="E293" s="218" t="s">
        <v>694</v>
      </c>
      <c r="F293" s="218" t="s">
        <v>695</v>
      </c>
      <c r="G293" s="218" t="s">
        <v>623</v>
      </c>
      <c r="H293" s="218" t="s">
        <v>696</v>
      </c>
      <c r="I293" s="218" t="s">
        <v>697</v>
      </c>
      <c r="J293" s="218" t="s">
        <v>698</v>
      </c>
      <c r="K293" s="218" t="s">
        <v>699</v>
      </c>
      <c r="L293" s="218" t="s">
        <v>700</v>
      </c>
    </row>
    <row r="294" spans="1:14" ht="30" customHeight="1" x14ac:dyDescent="0.25">
      <c r="A294" s="219">
        <v>1</v>
      </c>
      <c r="B294" s="220" t="s">
        <v>187</v>
      </c>
      <c r="C294" s="220" t="s">
        <v>189</v>
      </c>
      <c r="D294" s="219">
        <v>25</v>
      </c>
      <c r="E294" s="219">
        <f>COUNTIF(K5:K294,"PASS")</f>
        <v>139</v>
      </c>
      <c r="F294" s="219">
        <f>COUNTIF(K5:K294,"FAIL")</f>
        <v>126</v>
      </c>
      <c r="G294" s="219">
        <f>COUNTIF(K5:K294,"PARTIAL")</f>
        <v>0</v>
      </c>
      <c r="H294" s="219">
        <f t="shared" ref="H294:H304" si="0">IF(D294&gt;0,ROUND(E294/D294*100,1),0)</f>
        <v>556</v>
      </c>
      <c r="I294" s="220" t="s">
        <v>353</v>
      </c>
      <c r="J294" s="220" t="s">
        <v>363</v>
      </c>
      <c r="K294" s="219" t="s">
        <v>121</v>
      </c>
      <c r="L294" s="220" t="s">
        <v>712</v>
      </c>
    </row>
    <row r="295" spans="1:14" ht="30" customHeight="1" x14ac:dyDescent="0.25">
      <c r="A295" s="202">
        <v>2</v>
      </c>
      <c r="B295" s="203" t="s">
        <v>191</v>
      </c>
      <c r="C295" s="203" t="s">
        <v>189</v>
      </c>
      <c r="D295" s="202">
        <v>25</v>
      </c>
      <c r="E295" s="202">
        <f>COUNTIF(K32:K295,"PASS")</f>
        <v>126</v>
      </c>
      <c r="F295" s="202">
        <f>COUNTIF(K32:K295,"FAIL")</f>
        <v>114</v>
      </c>
      <c r="G295" s="202">
        <f>COUNTIF(K32:K295,"PARTIAL")</f>
        <v>0</v>
      </c>
      <c r="H295" s="202">
        <f t="shared" si="0"/>
        <v>504</v>
      </c>
      <c r="I295" s="203" t="s">
        <v>374</v>
      </c>
      <c r="J295" s="203" t="s">
        <v>363</v>
      </c>
      <c r="K295" s="202" t="s">
        <v>209</v>
      </c>
      <c r="L295" s="203" t="s">
        <v>746</v>
      </c>
    </row>
    <row r="296" spans="1:14" ht="30" customHeight="1" x14ac:dyDescent="0.25">
      <c r="A296" s="219">
        <v>3</v>
      </c>
      <c r="B296" s="220" t="s">
        <v>192</v>
      </c>
      <c r="C296" s="220" t="s">
        <v>189</v>
      </c>
      <c r="D296" s="219">
        <v>25</v>
      </c>
      <c r="E296" s="219">
        <f>COUNTIF(K57:K296,"PASS")</f>
        <v>114</v>
      </c>
      <c r="F296" s="219">
        <f>COUNTIF(K57:K296,"FAIL")</f>
        <v>102</v>
      </c>
      <c r="G296" s="219">
        <f>COUNTIF(K57:K296,"PARTIAL")</f>
        <v>0</v>
      </c>
      <c r="H296" s="219">
        <f t="shared" si="0"/>
        <v>456</v>
      </c>
      <c r="I296" s="220" t="s">
        <v>353</v>
      </c>
      <c r="J296" s="220" t="s">
        <v>369</v>
      </c>
      <c r="K296" s="219" t="s">
        <v>209</v>
      </c>
      <c r="L296" s="220" t="s">
        <v>746</v>
      </c>
    </row>
    <row r="297" spans="1:14" ht="30" customHeight="1" x14ac:dyDescent="0.25">
      <c r="A297" s="202">
        <v>4</v>
      </c>
      <c r="B297" s="203" t="s">
        <v>194</v>
      </c>
      <c r="C297" s="203" t="s">
        <v>189</v>
      </c>
      <c r="D297" s="202">
        <v>25</v>
      </c>
      <c r="E297" s="202">
        <f>COUNTIF(K83:K297,"PASS")</f>
        <v>101</v>
      </c>
      <c r="F297" s="202">
        <f>COUNTIF(K83:K297,"FAIL")</f>
        <v>91</v>
      </c>
      <c r="G297" s="202">
        <f>COUNTIF(K83:K297,"PARTIAL")</f>
        <v>0</v>
      </c>
      <c r="H297" s="202">
        <f t="shared" si="0"/>
        <v>404</v>
      </c>
      <c r="I297" s="203" t="s">
        <v>353</v>
      </c>
      <c r="J297" s="203" t="s">
        <v>363</v>
      </c>
      <c r="K297" s="202" t="s">
        <v>209</v>
      </c>
      <c r="L297" s="203" t="s">
        <v>746</v>
      </c>
    </row>
    <row r="298" spans="1:14" ht="30" customHeight="1" x14ac:dyDescent="0.25">
      <c r="A298" s="219">
        <v>5</v>
      </c>
      <c r="B298" s="220" t="s">
        <v>195</v>
      </c>
      <c r="C298" s="220" t="s">
        <v>196</v>
      </c>
      <c r="D298" s="219">
        <v>25</v>
      </c>
      <c r="E298" s="219">
        <f>COUNTIF(K109:K298,"PASS")</f>
        <v>88</v>
      </c>
      <c r="F298" s="219">
        <f>COUNTIF(K109:K298,"FAIL")</f>
        <v>80</v>
      </c>
      <c r="G298" s="219">
        <f>COUNTIF(K109:K298,"PARTIAL")</f>
        <v>0</v>
      </c>
      <c r="H298" s="219">
        <f t="shared" si="0"/>
        <v>352</v>
      </c>
      <c r="I298" s="220" t="s">
        <v>353</v>
      </c>
      <c r="J298" s="220" t="s">
        <v>363</v>
      </c>
      <c r="K298" s="219" t="s">
        <v>209</v>
      </c>
      <c r="L298" s="220" t="s">
        <v>746</v>
      </c>
    </row>
    <row r="299" spans="1:14" ht="30" customHeight="1" x14ac:dyDescent="0.25">
      <c r="A299" s="202">
        <v>6</v>
      </c>
      <c r="B299" s="203" t="s">
        <v>198</v>
      </c>
      <c r="C299" s="203" t="s">
        <v>199</v>
      </c>
      <c r="D299" s="202">
        <v>25</v>
      </c>
      <c r="E299" s="202">
        <f>COUNTIF(K135:K299,"PASS")</f>
        <v>76</v>
      </c>
      <c r="F299" s="202">
        <f>COUNTIF(K135:K299,"FAIL")</f>
        <v>68</v>
      </c>
      <c r="G299" s="202">
        <f>COUNTIF(K135:K299,"PARTIAL")</f>
        <v>0</v>
      </c>
      <c r="H299" s="202">
        <f t="shared" si="0"/>
        <v>304</v>
      </c>
      <c r="I299" s="203" t="s">
        <v>353</v>
      </c>
      <c r="J299" s="203" t="s">
        <v>363</v>
      </c>
      <c r="K299" s="202" t="s">
        <v>121</v>
      </c>
      <c r="L299" s="203" t="s">
        <v>746</v>
      </c>
    </row>
    <row r="300" spans="1:14" ht="30" customHeight="1" x14ac:dyDescent="0.25">
      <c r="A300" s="219">
        <v>7</v>
      </c>
      <c r="B300" s="220" t="s">
        <v>201</v>
      </c>
      <c r="C300" s="220" t="s">
        <v>199</v>
      </c>
      <c r="D300" s="219">
        <v>25</v>
      </c>
      <c r="E300" s="219">
        <f>COUNTIF(K161:K300,"PASS")</f>
        <v>63</v>
      </c>
      <c r="F300" s="219">
        <f>COUNTIF(K161:K300,"FAIL")</f>
        <v>57</v>
      </c>
      <c r="G300" s="219">
        <f>COUNTIF(K161:K300,"PARTIAL")</f>
        <v>0</v>
      </c>
      <c r="H300" s="219">
        <f t="shared" si="0"/>
        <v>252</v>
      </c>
      <c r="I300" s="220" t="s">
        <v>353</v>
      </c>
      <c r="J300" s="220" t="s">
        <v>363</v>
      </c>
      <c r="K300" s="219" t="s">
        <v>121</v>
      </c>
      <c r="L300" s="220" t="s">
        <v>746</v>
      </c>
    </row>
    <row r="301" spans="1:14" ht="30" customHeight="1" x14ac:dyDescent="0.25">
      <c r="A301" s="202">
        <v>8</v>
      </c>
      <c r="B301" s="203" t="s">
        <v>203</v>
      </c>
      <c r="C301" s="203" t="s">
        <v>204</v>
      </c>
      <c r="D301" s="202">
        <v>25</v>
      </c>
      <c r="E301" s="202">
        <f>COUNTIF(K187:K301,"PASS")</f>
        <v>51</v>
      </c>
      <c r="F301" s="202">
        <f>COUNTIF(K187:K301,"FAIL")</f>
        <v>45</v>
      </c>
      <c r="G301" s="202">
        <f>COUNTIF(K187:K301,"PARTIAL")</f>
        <v>0</v>
      </c>
      <c r="H301" s="202">
        <f t="shared" si="0"/>
        <v>204</v>
      </c>
      <c r="I301" s="203" t="s">
        <v>353</v>
      </c>
      <c r="J301" s="203" t="s">
        <v>363</v>
      </c>
      <c r="K301" s="202" t="s">
        <v>209</v>
      </c>
      <c r="L301" s="203" t="s">
        <v>746</v>
      </c>
    </row>
    <row r="302" spans="1:14" ht="30" customHeight="1" x14ac:dyDescent="0.25">
      <c r="A302" s="219">
        <v>9</v>
      </c>
      <c r="B302" s="220" t="s">
        <v>206</v>
      </c>
      <c r="C302" s="220" t="s">
        <v>76</v>
      </c>
      <c r="D302" s="219">
        <v>25</v>
      </c>
      <c r="E302" s="219">
        <f>COUNTIF(K213:K302,"PASS")</f>
        <v>38</v>
      </c>
      <c r="F302" s="219">
        <f>COUNTIF(K213:K302,"FAIL")</f>
        <v>34</v>
      </c>
      <c r="G302" s="219">
        <f>COUNTIF(K213:K302,"PARTIAL")</f>
        <v>0</v>
      </c>
      <c r="H302" s="219">
        <f t="shared" si="0"/>
        <v>152</v>
      </c>
      <c r="I302" s="220" t="s">
        <v>353</v>
      </c>
      <c r="J302" s="220" t="s">
        <v>363</v>
      </c>
      <c r="K302" s="219" t="s">
        <v>121</v>
      </c>
      <c r="L302" s="220" t="s">
        <v>712</v>
      </c>
    </row>
    <row r="303" spans="1:14" ht="30" customHeight="1" x14ac:dyDescent="0.25">
      <c r="A303" s="202">
        <v>10</v>
      </c>
      <c r="B303" s="203" t="s">
        <v>208</v>
      </c>
      <c r="C303" s="203" t="s">
        <v>189</v>
      </c>
      <c r="D303" s="202">
        <v>25</v>
      </c>
      <c r="E303" s="202">
        <f>COUNTIF(K239:K303,"PASS")</f>
        <v>25</v>
      </c>
      <c r="F303" s="202">
        <f>COUNTIF(K239:K303,"FAIL")</f>
        <v>23</v>
      </c>
      <c r="G303" s="202">
        <f>COUNTIF(K239:K303,"PARTIAL")</f>
        <v>0</v>
      </c>
      <c r="H303" s="202">
        <f t="shared" si="0"/>
        <v>100</v>
      </c>
      <c r="I303" s="203" t="s">
        <v>353</v>
      </c>
      <c r="J303" s="203" t="s">
        <v>363</v>
      </c>
      <c r="K303" s="202" t="s">
        <v>209</v>
      </c>
      <c r="L303" s="203" t="s">
        <v>702</v>
      </c>
    </row>
    <row r="304" spans="1:14" ht="30" customHeight="1" x14ac:dyDescent="0.25">
      <c r="A304" s="219">
        <v>11</v>
      </c>
      <c r="B304" s="220" t="s">
        <v>211</v>
      </c>
      <c r="C304" s="220" t="s">
        <v>76</v>
      </c>
      <c r="D304" s="219">
        <v>25</v>
      </c>
      <c r="E304" s="219">
        <f>COUNTIF(K265:K304,"PASS")</f>
        <v>13</v>
      </c>
      <c r="F304" s="219">
        <f>COUNTIF(K265:K304,"FAIL")</f>
        <v>11</v>
      </c>
      <c r="G304" s="219">
        <f>COUNTIF(K265:K304,"PARTIAL")</f>
        <v>0</v>
      </c>
      <c r="H304" s="219">
        <f t="shared" si="0"/>
        <v>52</v>
      </c>
      <c r="I304" s="220" t="s">
        <v>353</v>
      </c>
      <c r="J304" s="220" t="s">
        <v>363</v>
      </c>
      <c r="K304" s="219" t="s">
        <v>209</v>
      </c>
      <c r="L304" s="220" t="s">
        <v>702</v>
      </c>
    </row>
    <row r="305" spans="8:8" ht="40.5" customHeight="1" x14ac:dyDescent="0.25">
      <c r="H305" s="292" t="s">
        <v>894</v>
      </c>
    </row>
  </sheetData>
  <mergeCells count="14">
    <mergeCell ref="A1:N1"/>
    <mergeCell ref="A274:N274"/>
    <mergeCell ref="A112:N112"/>
    <mergeCell ref="A292:N292"/>
    <mergeCell ref="A85:N85"/>
    <mergeCell ref="A247:N247"/>
    <mergeCell ref="A193:N193"/>
    <mergeCell ref="A220:N220"/>
    <mergeCell ref="A31:N31"/>
    <mergeCell ref="A4:N4"/>
    <mergeCell ref="A139:N139"/>
    <mergeCell ref="A2:N2"/>
    <mergeCell ref="A166:N166"/>
    <mergeCell ref="A58:N58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N197"/>
  <sheetViews>
    <sheetView zoomScaleNormal="100" workbookViewId="0">
      <pane xSplit="1" ySplit="3" topLeftCell="B188" activePane="bottomRight" state="frozen"/>
      <selection pane="topRight" activeCell="B1" sqref="B1"/>
      <selection pane="bottomLeft" activeCell="A182" sqref="A182"/>
      <selection pane="bottomRight" activeCell="H200" sqref="H200"/>
    </sheetView>
  </sheetViews>
  <sheetFormatPr defaultColWidth="8.7109375" defaultRowHeight="15" x14ac:dyDescent="0.25"/>
  <cols>
    <col min="1" max="1" width="4" customWidth="1"/>
    <col min="2" max="2" width="28" customWidth="1"/>
    <col min="3" max="3" width="24" customWidth="1"/>
    <col min="4" max="4" width="18" customWidth="1"/>
    <col min="5" max="5" width="10" customWidth="1"/>
    <col min="6" max="6" width="11" customWidth="1"/>
    <col min="7" max="7" width="25.85546875" customWidth="1"/>
    <col min="8" max="8" width="20" customWidth="1"/>
    <col min="9" max="10" width="22" customWidth="1"/>
    <col min="11" max="11" width="14" customWidth="1"/>
    <col min="12" max="12" width="36" customWidth="1"/>
    <col min="13" max="13" width="14" customWidth="1"/>
    <col min="14" max="14" width="41.28515625" customWidth="1"/>
  </cols>
  <sheetData>
    <row r="1" spans="1:14" ht="37.5" customHeight="1" x14ac:dyDescent="0.25">
      <c r="A1" s="282" t="s">
        <v>747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</row>
    <row r="2" spans="1:14" ht="15.75" customHeight="1" x14ac:dyDescent="0.25">
      <c r="A2" s="283" t="s">
        <v>648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</row>
    <row r="3" spans="1:14" ht="33.75" customHeight="1" x14ac:dyDescent="0.25">
      <c r="A3" s="147" t="s">
        <v>17</v>
      </c>
      <c r="B3" s="147" t="s">
        <v>18</v>
      </c>
      <c r="C3" s="147" t="s">
        <v>97</v>
      </c>
      <c r="D3" s="147" t="s">
        <v>649</v>
      </c>
      <c r="E3" s="147" t="s">
        <v>98</v>
      </c>
      <c r="F3" s="147" t="s">
        <v>650</v>
      </c>
      <c r="G3" s="147" t="s">
        <v>464</v>
      </c>
      <c r="H3" s="147" t="s">
        <v>465</v>
      </c>
      <c r="I3" s="147" t="s">
        <v>651</v>
      </c>
      <c r="J3" s="147" t="s">
        <v>24</v>
      </c>
      <c r="K3" s="147" t="s">
        <v>652</v>
      </c>
      <c r="L3" s="147" t="s">
        <v>26</v>
      </c>
      <c r="M3" s="147" t="s">
        <v>653</v>
      </c>
      <c r="N3" s="147" t="s">
        <v>654</v>
      </c>
    </row>
    <row r="4" spans="1:14" ht="19.5" customHeight="1" x14ac:dyDescent="0.25">
      <c r="A4" s="281" t="s">
        <v>748</v>
      </c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1"/>
    </row>
    <row r="5" spans="1:14" ht="18.75" customHeight="1" x14ac:dyDescent="0.25">
      <c r="A5" s="34">
        <v>1</v>
      </c>
      <c r="B5" s="35" t="s">
        <v>213</v>
      </c>
      <c r="C5" s="35" t="s">
        <v>215</v>
      </c>
      <c r="D5" s="35" t="s">
        <v>216</v>
      </c>
      <c r="E5" s="144" t="s">
        <v>209</v>
      </c>
      <c r="F5" s="35"/>
      <c r="G5" s="35" t="s">
        <v>749</v>
      </c>
      <c r="H5" s="35" t="s">
        <v>750</v>
      </c>
      <c r="I5" s="35" t="s">
        <v>360</v>
      </c>
      <c r="J5" s="198">
        <v>3</v>
      </c>
      <c r="K5" s="35" t="s">
        <v>36</v>
      </c>
      <c r="L5" s="35" t="s">
        <v>751</v>
      </c>
      <c r="M5" s="35" t="s">
        <v>209</v>
      </c>
      <c r="N5" s="35" t="s">
        <v>752</v>
      </c>
    </row>
    <row r="6" spans="1:14" ht="18.75" customHeight="1" x14ac:dyDescent="0.25">
      <c r="A6" s="127">
        <v>2</v>
      </c>
      <c r="B6" s="128" t="s">
        <v>213</v>
      </c>
      <c r="C6" s="128" t="s">
        <v>215</v>
      </c>
      <c r="D6" s="128" t="s">
        <v>216</v>
      </c>
      <c r="E6" s="148" t="s">
        <v>209</v>
      </c>
      <c r="F6" s="128"/>
      <c r="G6" s="128" t="s">
        <v>753</v>
      </c>
      <c r="H6" s="128" t="s">
        <v>754</v>
      </c>
      <c r="I6" s="128" t="s">
        <v>367</v>
      </c>
      <c r="J6" s="212">
        <v>3</v>
      </c>
      <c r="K6" s="128" t="s">
        <v>480</v>
      </c>
      <c r="L6" s="128" t="s">
        <v>755</v>
      </c>
      <c r="M6" s="128" t="s">
        <v>412</v>
      </c>
      <c r="N6" s="128" t="s">
        <v>756</v>
      </c>
    </row>
    <row r="7" spans="1:14" ht="18.75" customHeight="1" x14ac:dyDescent="0.25">
      <c r="A7" s="127">
        <v>3</v>
      </c>
      <c r="B7" s="128" t="s">
        <v>213</v>
      </c>
      <c r="C7" s="128" t="s">
        <v>215</v>
      </c>
      <c r="D7" s="128" t="s">
        <v>216</v>
      </c>
      <c r="E7" s="148" t="s">
        <v>209</v>
      </c>
      <c r="F7" s="128"/>
      <c r="G7" s="128" t="s">
        <v>757</v>
      </c>
      <c r="H7" s="128" t="s">
        <v>758</v>
      </c>
      <c r="I7" s="128" t="s">
        <v>372</v>
      </c>
      <c r="J7" s="212">
        <v>3</v>
      </c>
      <c r="K7" s="128" t="s">
        <v>480</v>
      </c>
      <c r="L7" s="128" t="s">
        <v>755</v>
      </c>
      <c r="M7" s="128" t="s">
        <v>412</v>
      </c>
      <c r="N7" s="128" t="s">
        <v>756</v>
      </c>
    </row>
    <row r="8" spans="1:14" ht="18.75" customHeight="1" x14ac:dyDescent="0.25">
      <c r="A8" s="127">
        <v>4</v>
      </c>
      <c r="B8" s="128" t="s">
        <v>213</v>
      </c>
      <c r="C8" s="128" t="s">
        <v>215</v>
      </c>
      <c r="D8" s="128" t="s">
        <v>216</v>
      </c>
      <c r="E8" s="148" t="s">
        <v>209</v>
      </c>
      <c r="F8" s="128"/>
      <c r="G8" s="128" t="s">
        <v>759</v>
      </c>
      <c r="H8" s="128" t="s">
        <v>760</v>
      </c>
      <c r="I8" s="128" t="s">
        <v>377</v>
      </c>
      <c r="J8" s="212">
        <v>3</v>
      </c>
      <c r="K8" s="128" t="s">
        <v>36</v>
      </c>
      <c r="L8" s="128" t="s">
        <v>761</v>
      </c>
      <c r="M8" s="128" t="s">
        <v>209</v>
      </c>
      <c r="N8" s="128" t="s">
        <v>752</v>
      </c>
    </row>
    <row r="9" spans="1:14" ht="18.75" customHeight="1" x14ac:dyDescent="0.25">
      <c r="A9" s="127">
        <v>5</v>
      </c>
      <c r="B9" s="128" t="s">
        <v>213</v>
      </c>
      <c r="C9" s="128" t="s">
        <v>215</v>
      </c>
      <c r="D9" s="128" t="s">
        <v>216</v>
      </c>
      <c r="E9" s="148" t="s">
        <v>209</v>
      </c>
      <c r="F9" s="128"/>
      <c r="G9" s="128" t="s">
        <v>762</v>
      </c>
      <c r="H9" s="128" t="s">
        <v>763</v>
      </c>
      <c r="I9" s="128" t="s">
        <v>381</v>
      </c>
      <c r="J9" s="212">
        <v>3</v>
      </c>
      <c r="K9" s="128" t="s">
        <v>480</v>
      </c>
      <c r="L9" s="128" t="s">
        <v>755</v>
      </c>
      <c r="M9" s="128" t="s">
        <v>412</v>
      </c>
      <c r="N9" s="128" t="s">
        <v>756</v>
      </c>
    </row>
    <row r="10" spans="1:14" ht="18.75" customHeight="1" x14ac:dyDescent="0.25">
      <c r="A10" s="127">
        <v>6</v>
      </c>
      <c r="B10" s="128" t="s">
        <v>213</v>
      </c>
      <c r="C10" s="128" t="s">
        <v>215</v>
      </c>
      <c r="D10" s="128" t="s">
        <v>216</v>
      </c>
      <c r="E10" s="148" t="s">
        <v>209</v>
      </c>
      <c r="F10" s="128"/>
      <c r="G10" s="128" t="s">
        <v>764</v>
      </c>
      <c r="H10" s="128" t="s">
        <v>765</v>
      </c>
      <c r="I10" s="128" t="s">
        <v>385</v>
      </c>
      <c r="J10" s="212">
        <v>3</v>
      </c>
      <c r="K10" s="128" t="s">
        <v>36</v>
      </c>
      <c r="L10" s="128" t="s">
        <v>766</v>
      </c>
      <c r="M10" s="128" t="s">
        <v>209</v>
      </c>
      <c r="N10" s="128" t="s">
        <v>752</v>
      </c>
    </row>
    <row r="11" spans="1:14" ht="18.75" customHeight="1" x14ac:dyDescent="0.25">
      <c r="A11" s="127">
        <v>7</v>
      </c>
      <c r="B11" s="128" t="s">
        <v>213</v>
      </c>
      <c r="C11" s="128" t="s">
        <v>215</v>
      </c>
      <c r="D11" s="128" t="s">
        <v>216</v>
      </c>
      <c r="E11" s="148" t="s">
        <v>209</v>
      </c>
      <c r="F11" s="128"/>
      <c r="G11" s="128" t="s">
        <v>767</v>
      </c>
      <c r="H11" s="128" t="s">
        <v>768</v>
      </c>
      <c r="I11" s="128" t="s">
        <v>389</v>
      </c>
      <c r="J11" s="212">
        <v>3</v>
      </c>
      <c r="K11" s="128" t="s">
        <v>480</v>
      </c>
      <c r="L11" s="128" t="s">
        <v>755</v>
      </c>
      <c r="M11" s="128" t="s">
        <v>412</v>
      </c>
      <c r="N11" s="128" t="s">
        <v>756</v>
      </c>
    </row>
    <row r="12" spans="1:14" ht="18.75" customHeight="1" x14ac:dyDescent="0.25">
      <c r="A12" s="127">
        <v>8</v>
      </c>
      <c r="B12" s="128" t="s">
        <v>213</v>
      </c>
      <c r="C12" s="128" t="s">
        <v>215</v>
      </c>
      <c r="D12" s="128" t="s">
        <v>216</v>
      </c>
      <c r="E12" s="148" t="s">
        <v>209</v>
      </c>
      <c r="F12" s="128"/>
      <c r="G12" s="128" t="s">
        <v>769</v>
      </c>
      <c r="H12" s="128" t="s">
        <v>770</v>
      </c>
      <c r="I12" s="128" t="s">
        <v>393</v>
      </c>
      <c r="J12" s="212">
        <v>3</v>
      </c>
      <c r="K12" s="128" t="s">
        <v>480</v>
      </c>
      <c r="L12" s="128" t="s">
        <v>755</v>
      </c>
      <c r="M12" s="128" t="s">
        <v>412</v>
      </c>
      <c r="N12" s="128" t="s">
        <v>756</v>
      </c>
    </row>
    <row r="13" spans="1:14" ht="18.75" customHeight="1" x14ac:dyDescent="0.25">
      <c r="A13" s="127">
        <v>9</v>
      </c>
      <c r="B13" s="128" t="s">
        <v>213</v>
      </c>
      <c r="C13" s="128" t="s">
        <v>215</v>
      </c>
      <c r="D13" s="128" t="s">
        <v>216</v>
      </c>
      <c r="E13" s="148" t="s">
        <v>209</v>
      </c>
      <c r="F13" s="128"/>
      <c r="G13" s="128" t="s">
        <v>771</v>
      </c>
      <c r="H13" s="128" t="s">
        <v>772</v>
      </c>
      <c r="I13" s="128" t="s">
        <v>360</v>
      </c>
      <c r="J13" s="212">
        <v>3</v>
      </c>
      <c r="K13" s="128" t="s">
        <v>36</v>
      </c>
      <c r="L13" s="128" t="s">
        <v>773</v>
      </c>
      <c r="M13" s="128" t="s">
        <v>209</v>
      </c>
      <c r="N13" s="128" t="s">
        <v>752</v>
      </c>
    </row>
    <row r="14" spans="1:14" ht="18.75" customHeight="1" x14ac:dyDescent="0.25">
      <c r="A14" s="127">
        <v>10</v>
      </c>
      <c r="B14" s="128" t="s">
        <v>213</v>
      </c>
      <c r="C14" s="128" t="s">
        <v>215</v>
      </c>
      <c r="D14" s="128" t="s">
        <v>216</v>
      </c>
      <c r="E14" s="148" t="s">
        <v>209</v>
      </c>
      <c r="F14" s="128"/>
      <c r="G14" s="128" t="s">
        <v>774</v>
      </c>
      <c r="H14" s="128" t="s">
        <v>775</v>
      </c>
      <c r="I14" s="128" t="s">
        <v>372</v>
      </c>
      <c r="J14" s="212">
        <v>3</v>
      </c>
      <c r="K14" s="128" t="s">
        <v>480</v>
      </c>
      <c r="L14" s="128" t="s">
        <v>755</v>
      </c>
      <c r="M14" s="128" t="s">
        <v>412</v>
      </c>
      <c r="N14" s="128" t="s">
        <v>756</v>
      </c>
    </row>
    <row r="15" spans="1:14" ht="18.75" customHeight="1" x14ac:dyDescent="0.25">
      <c r="A15" s="127">
        <v>11</v>
      </c>
      <c r="B15" s="128" t="s">
        <v>213</v>
      </c>
      <c r="C15" s="128" t="s">
        <v>215</v>
      </c>
      <c r="D15" s="128" t="s">
        <v>216</v>
      </c>
      <c r="E15" s="148" t="s">
        <v>209</v>
      </c>
      <c r="F15" s="128"/>
      <c r="G15" s="128" t="s">
        <v>776</v>
      </c>
      <c r="H15" s="128" t="s">
        <v>777</v>
      </c>
      <c r="I15" s="128" t="s">
        <v>404</v>
      </c>
      <c r="J15" s="212">
        <v>3</v>
      </c>
      <c r="K15" s="128" t="s">
        <v>36</v>
      </c>
      <c r="L15" s="128" t="s">
        <v>778</v>
      </c>
      <c r="M15" s="128" t="s">
        <v>209</v>
      </c>
      <c r="N15" s="128" t="s">
        <v>752</v>
      </c>
    </row>
    <row r="16" spans="1:14" ht="18.75" customHeight="1" x14ac:dyDescent="0.25">
      <c r="A16" s="127">
        <v>12</v>
      </c>
      <c r="B16" s="128" t="s">
        <v>213</v>
      </c>
      <c r="C16" s="128" t="s">
        <v>215</v>
      </c>
      <c r="D16" s="128" t="s">
        <v>216</v>
      </c>
      <c r="E16" s="148" t="s">
        <v>209</v>
      </c>
      <c r="F16" s="128"/>
      <c r="G16" s="128" t="s">
        <v>779</v>
      </c>
      <c r="H16" s="128" t="s">
        <v>780</v>
      </c>
      <c r="I16" s="128" t="s">
        <v>367</v>
      </c>
      <c r="J16" s="212">
        <v>3</v>
      </c>
      <c r="K16" s="128" t="s">
        <v>480</v>
      </c>
      <c r="L16" s="128" t="s">
        <v>755</v>
      </c>
      <c r="M16" s="128" t="s">
        <v>412</v>
      </c>
      <c r="N16" s="128" t="s">
        <v>756</v>
      </c>
    </row>
    <row r="17" spans="1:14" ht="18.75" customHeight="1" x14ac:dyDescent="0.25">
      <c r="A17" s="127">
        <v>13</v>
      </c>
      <c r="B17" s="128" t="s">
        <v>213</v>
      </c>
      <c r="C17" s="128" t="s">
        <v>215</v>
      </c>
      <c r="D17" s="128" t="s">
        <v>216</v>
      </c>
      <c r="E17" s="148" t="s">
        <v>209</v>
      </c>
      <c r="F17" s="128"/>
      <c r="G17" s="128" t="s">
        <v>781</v>
      </c>
      <c r="H17" s="128" t="s">
        <v>782</v>
      </c>
      <c r="I17" s="128" t="s">
        <v>360</v>
      </c>
      <c r="J17" s="212">
        <v>3</v>
      </c>
      <c r="K17" s="128" t="s">
        <v>36</v>
      </c>
      <c r="L17" s="128" t="s">
        <v>783</v>
      </c>
      <c r="M17" s="128" t="s">
        <v>209</v>
      </c>
      <c r="N17" s="128" t="s">
        <v>752</v>
      </c>
    </row>
    <row r="18" spans="1:14" ht="18.75" customHeight="1" x14ac:dyDescent="0.25">
      <c r="A18" s="127">
        <v>14</v>
      </c>
      <c r="B18" s="128" t="s">
        <v>213</v>
      </c>
      <c r="C18" s="128" t="s">
        <v>215</v>
      </c>
      <c r="D18" s="128" t="s">
        <v>216</v>
      </c>
      <c r="E18" s="148" t="s">
        <v>209</v>
      </c>
      <c r="F18" s="128"/>
      <c r="G18" s="128" t="s">
        <v>784</v>
      </c>
      <c r="H18" s="128" t="s">
        <v>785</v>
      </c>
      <c r="I18" s="128" t="s">
        <v>385</v>
      </c>
      <c r="J18" s="212">
        <v>3</v>
      </c>
      <c r="K18" s="128" t="s">
        <v>36</v>
      </c>
      <c r="L18" s="128" t="s">
        <v>786</v>
      </c>
      <c r="M18" s="128" t="s">
        <v>209</v>
      </c>
      <c r="N18" s="128" t="s">
        <v>752</v>
      </c>
    </row>
    <row r="19" spans="1:14" ht="18.75" customHeight="1" x14ac:dyDescent="0.25">
      <c r="A19" s="127">
        <v>15</v>
      </c>
      <c r="B19" s="128" t="s">
        <v>213</v>
      </c>
      <c r="C19" s="128" t="s">
        <v>215</v>
      </c>
      <c r="D19" s="128" t="s">
        <v>216</v>
      </c>
      <c r="E19" s="148" t="s">
        <v>209</v>
      </c>
      <c r="F19" s="128"/>
      <c r="G19" s="128" t="s">
        <v>787</v>
      </c>
      <c r="H19" s="128" t="s">
        <v>788</v>
      </c>
      <c r="I19" s="128" t="s">
        <v>421</v>
      </c>
      <c r="J19" s="212">
        <v>3</v>
      </c>
      <c r="K19" s="128" t="s">
        <v>480</v>
      </c>
      <c r="L19" s="128" t="s">
        <v>755</v>
      </c>
      <c r="M19" s="128" t="s">
        <v>412</v>
      </c>
      <c r="N19" s="128" t="s">
        <v>756</v>
      </c>
    </row>
    <row r="20" spans="1:14" ht="18.75" customHeight="1" x14ac:dyDescent="0.25">
      <c r="A20" s="127">
        <v>16</v>
      </c>
      <c r="B20" s="128" t="s">
        <v>213</v>
      </c>
      <c r="C20" s="128" t="s">
        <v>215</v>
      </c>
      <c r="D20" s="128" t="s">
        <v>216</v>
      </c>
      <c r="E20" s="148" t="s">
        <v>209</v>
      </c>
      <c r="F20" s="128"/>
      <c r="G20" s="128" t="s">
        <v>789</v>
      </c>
      <c r="H20" s="128" t="s">
        <v>790</v>
      </c>
      <c r="I20" s="128" t="s">
        <v>425</v>
      </c>
      <c r="J20" s="212">
        <v>3</v>
      </c>
      <c r="K20" s="128" t="s">
        <v>36</v>
      </c>
      <c r="L20" s="128" t="s">
        <v>791</v>
      </c>
      <c r="M20" s="128" t="s">
        <v>209</v>
      </c>
      <c r="N20" s="128" t="s">
        <v>752</v>
      </c>
    </row>
    <row r="21" spans="1:14" ht="18.75" customHeight="1" x14ac:dyDescent="0.25">
      <c r="A21" s="127">
        <v>17</v>
      </c>
      <c r="B21" s="128" t="s">
        <v>213</v>
      </c>
      <c r="C21" s="128" t="s">
        <v>215</v>
      </c>
      <c r="D21" s="128" t="s">
        <v>216</v>
      </c>
      <c r="E21" s="148" t="s">
        <v>209</v>
      </c>
      <c r="F21" s="128"/>
      <c r="G21" s="128" t="s">
        <v>792</v>
      </c>
      <c r="H21" s="128" t="s">
        <v>793</v>
      </c>
      <c r="I21" s="128" t="s">
        <v>429</v>
      </c>
      <c r="J21" s="212">
        <v>3</v>
      </c>
      <c r="K21" s="128" t="s">
        <v>480</v>
      </c>
      <c r="L21" s="128" t="s">
        <v>755</v>
      </c>
      <c r="M21" s="128" t="s">
        <v>412</v>
      </c>
      <c r="N21" s="128" t="s">
        <v>756</v>
      </c>
    </row>
    <row r="22" spans="1:14" ht="18.75" customHeight="1" x14ac:dyDescent="0.25">
      <c r="A22" s="127">
        <v>18</v>
      </c>
      <c r="B22" s="128" t="s">
        <v>213</v>
      </c>
      <c r="C22" s="128" t="s">
        <v>215</v>
      </c>
      <c r="D22" s="128" t="s">
        <v>216</v>
      </c>
      <c r="E22" s="148" t="s">
        <v>209</v>
      </c>
      <c r="F22" s="128"/>
      <c r="G22" s="128" t="s">
        <v>794</v>
      </c>
      <c r="H22" s="128" t="s">
        <v>795</v>
      </c>
      <c r="I22" s="128" t="s">
        <v>360</v>
      </c>
      <c r="J22" s="212">
        <v>3</v>
      </c>
      <c r="K22" s="128" t="s">
        <v>36</v>
      </c>
      <c r="L22" s="128" t="s">
        <v>796</v>
      </c>
      <c r="M22" s="128" t="s">
        <v>209</v>
      </c>
      <c r="N22" s="128" t="s">
        <v>752</v>
      </c>
    </row>
    <row r="23" spans="1:14" ht="18.75" customHeight="1" x14ac:dyDescent="0.25">
      <c r="A23" s="127">
        <v>19</v>
      </c>
      <c r="B23" s="128" t="s">
        <v>213</v>
      </c>
      <c r="C23" s="128" t="s">
        <v>215</v>
      </c>
      <c r="D23" s="128" t="s">
        <v>216</v>
      </c>
      <c r="E23" s="148" t="s">
        <v>209</v>
      </c>
      <c r="F23" s="128"/>
      <c r="G23" s="128" t="s">
        <v>797</v>
      </c>
      <c r="H23" s="128" t="s">
        <v>798</v>
      </c>
      <c r="I23" s="128" t="s">
        <v>436</v>
      </c>
      <c r="J23" s="212">
        <v>3</v>
      </c>
      <c r="K23" s="128" t="s">
        <v>480</v>
      </c>
      <c r="L23" s="128" t="s">
        <v>755</v>
      </c>
      <c r="M23" s="128" t="s">
        <v>412</v>
      </c>
      <c r="N23" s="128" t="s">
        <v>756</v>
      </c>
    </row>
    <row r="24" spans="1:14" ht="18.75" customHeight="1" x14ac:dyDescent="0.25">
      <c r="A24" s="127">
        <v>20</v>
      </c>
      <c r="B24" s="128" t="s">
        <v>213</v>
      </c>
      <c r="C24" s="128" t="s">
        <v>215</v>
      </c>
      <c r="D24" s="128" t="s">
        <v>216</v>
      </c>
      <c r="E24" s="148" t="s">
        <v>209</v>
      </c>
      <c r="F24" s="128"/>
      <c r="G24" s="128" t="s">
        <v>799</v>
      </c>
      <c r="H24" s="128" t="s">
        <v>800</v>
      </c>
      <c r="I24" s="128" t="s">
        <v>440</v>
      </c>
      <c r="J24" s="212">
        <v>3</v>
      </c>
      <c r="K24" s="128" t="s">
        <v>36</v>
      </c>
      <c r="L24" s="128" t="s">
        <v>801</v>
      </c>
      <c r="M24" s="128" t="s">
        <v>209</v>
      </c>
      <c r="N24" s="128" t="s">
        <v>752</v>
      </c>
    </row>
    <row r="25" spans="1:14" ht="18.75" customHeight="1" x14ac:dyDescent="0.25">
      <c r="A25" s="127">
        <v>21</v>
      </c>
      <c r="B25" s="128" t="s">
        <v>213</v>
      </c>
      <c r="C25" s="128" t="s">
        <v>215</v>
      </c>
      <c r="D25" s="128" t="s">
        <v>216</v>
      </c>
      <c r="E25" s="148" t="s">
        <v>209</v>
      </c>
      <c r="F25" s="128"/>
      <c r="G25" s="128" t="s">
        <v>802</v>
      </c>
      <c r="H25" s="128" t="s">
        <v>803</v>
      </c>
      <c r="I25" s="128" t="s">
        <v>381</v>
      </c>
      <c r="J25" s="212">
        <v>3</v>
      </c>
      <c r="K25" s="128" t="s">
        <v>480</v>
      </c>
      <c r="L25" s="128" t="s">
        <v>755</v>
      </c>
      <c r="M25" s="128" t="s">
        <v>412</v>
      </c>
      <c r="N25" s="128" t="s">
        <v>756</v>
      </c>
    </row>
    <row r="26" spans="1:14" ht="18.75" customHeight="1" x14ac:dyDescent="0.25">
      <c r="A26" s="127">
        <v>22</v>
      </c>
      <c r="B26" s="128" t="s">
        <v>213</v>
      </c>
      <c r="C26" s="128" t="s">
        <v>215</v>
      </c>
      <c r="D26" s="128" t="s">
        <v>216</v>
      </c>
      <c r="E26" s="148" t="s">
        <v>209</v>
      </c>
      <c r="F26" s="128"/>
      <c r="G26" s="128" t="s">
        <v>804</v>
      </c>
      <c r="H26" s="128" t="s">
        <v>805</v>
      </c>
      <c r="I26" s="128" t="s">
        <v>372</v>
      </c>
      <c r="J26" s="212">
        <v>3</v>
      </c>
      <c r="K26" s="128" t="s">
        <v>36</v>
      </c>
      <c r="L26" s="128" t="s">
        <v>806</v>
      </c>
      <c r="M26" s="128" t="s">
        <v>209</v>
      </c>
      <c r="N26" s="128" t="s">
        <v>752</v>
      </c>
    </row>
    <row r="27" spans="1:14" ht="18.75" customHeight="1" x14ac:dyDescent="0.25">
      <c r="A27" s="127">
        <v>23</v>
      </c>
      <c r="B27" s="128" t="s">
        <v>213</v>
      </c>
      <c r="C27" s="128" t="s">
        <v>215</v>
      </c>
      <c r="D27" s="128" t="s">
        <v>216</v>
      </c>
      <c r="E27" s="148" t="s">
        <v>209</v>
      </c>
      <c r="F27" s="128"/>
      <c r="G27" s="128" t="s">
        <v>807</v>
      </c>
      <c r="H27" s="128" t="s">
        <v>808</v>
      </c>
      <c r="I27" s="128" t="s">
        <v>451</v>
      </c>
      <c r="J27" s="212">
        <v>3</v>
      </c>
      <c r="K27" s="128" t="s">
        <v>36</v>
      </c>
      <c r="L27" s="128" t="s">
        <v>809</v>
      </c>
      <c r="M27" s="128" t="s">
        <v>209</v>
      </c>
      <c r="N27" s="128" t="s">
        <v>752</v>
      </c>
    </row>
    <row r="28" spans="1:14" ht="18.75" customHeight="1" x14ac:dyDescent="0.25">
      <c r="A28" s="127">
        <v>24</v>
      </c>
      <c r="B28" s="128" t="s">
        <v>213</v>
      </c>
      <c r="C28" s="128" t="s">
        <v>215</v>
      </c>
      <c r="D28" s="128" t="s">
        <v>216</v>
      </c>
      <c r="E28" s="148" t="s">
        <v>209</v>
      </c>
      <c r="F28" s="128"/>
      <c r="G28" s="128" t="s">
        <v>810</v>
      </c>
      <c r="H28" s="128" t="s">
        <v>811</v>
      </c>
      <c r="I28" s="128" t="s">
        <v>455</v>
      </c>
      <c r="J28" s="212">
        <v>3</v>
      </c>
      <c r="K28" s="128" t="s">
        <v>480</v>
      </c>
      <c r="L28" s="128" t="s">
        <v>755</v>
      </c>
      <c r="M28" s="128" t="s">
        <v>412</v>
      </c>
      <c r="N28" s="128" t="s">
        <v>756</v>
      </c>
    </row>
    <row r="29" spans="1:14" ht="18.75" customHeight="1" x14ac:dyDescent="0.25">
      <c r="A29" s="127">
        <v>25</v>
      </c>
      <c r="B29" s="128" t="s">
        <v>213</v>
      </c>
      <c r="C29" s="128" t="s">
        <v>215</v>
      </c>
      <c r="D29" s="128" t="s">
        <v>216</v>
      </c>
      <c r="E29" s="148" t="s">
        <v>209</v>
      </c>
      <c r="F29" s="128"/>
      <c r="G29" s="128" t="s">
        <v>812</v>
      </c>
      <c r="H29" s="128" t="s">
        <v>813</v>
      </c>
      <c r="I29" s="128" t="s">
        <v>459</v>
      </c>
      <c r="J29" s="212">
        <v>3</v>
      </c>
      <c r="K29" s="128" t="s">
        <v>36</v>
      </c>
      <c r="L29" s="128" t="s">
        <v>814</v>
      </c>
      <c r="M29" s="128" t="s">
        <v>209</v>
      </c>
      <c r="N29" s="128" t="s">
        <v>752</v>
      </c>
    </row>
    <row r="30" spans="1:14" ht="21.75" customHeight="1" x14ac:dyDescent="0.25">
      <c r="A30" s="105"/>
      <c r="B30" s="105"/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</row>
    <row r="31" spans="1:14" ht="19.5" customHeight="1" x14ac:dyDescent="0.25">
      <c r="A31" s="281" t="s">
        <v>815</v>
      </c>
      <c r="B31" s="260"/>
      <c r="C31" s="260"/>
      <c r="D31" s="260"/>
      <c r="E31" s="260"/>
      <c r="F31" s="260"/>
      <c r="G31" s="260"/>
      <c r="H31" s="260"/>
      <c r="I31" s="260"/>
      <c r="J31" s="260"/>
      <c r="K31" s="260"/>
      <c r="L31" s="260"/>
      <c r="M31" s="260"/>
      <c r="N31" s="261"/>
    </row>
    <row r="32" spans="1:14" ht="18.75" customHeight="1" x14ac:dyDescent="0.25">
      <c r="A32" s="34">
        <v>2</v>
      </c>
      <c r="B32" s="35" t="s">
        <v>218</v>
      </c>
      <c r="C32" s="35" t="s">
        <v>219</v>
      </c>
      <c r="D32" s="35" t="s">
        <v>220</v>
      </c>
      <c r="E32" s="109" t="s">
        <v>121</v>
      </c>
      <c r="F32" s="35"/>
      <c r="G32" s="35" t="s">
        <v>753</v>
      </c>
      <c r="H32" s="35" t="s">
        <v>754</v>
      </c>
      <c r="I32" s="35" t="s">
        <v>367</v>
      </c>
      <c r="J32" s="198">
        <v>10</v>
      </c>
      <c r="K32" s="35" t="s">
        <v>480</v>
      </c>
      <c r="L32" s="35" t="s">
        <v>755</v>
      </c>
      <c r="M32" s="35" t="s">
        <v>412</v>
      </c>
      <c r="N32" s="35" t="s">
        <v>756</v>
      </c>
    </row>
    <row r="33" spans="1:14" ht="18.75" customHeight="1" x14ac:dyDescent="0.25">
      <c r="A33" s="130">
        <v>3</v>
      </c>
      <c r="B33" s="131" t="s">
        <v>218</v>
      </c>
      <c r="C33" s="131" t="s">
        <v>219</v>
      </c>
      <c r="D33" s="131" t="s">
        <v>220</v>
      </c>
      <c r="E33" s="134" t="s">
        <v>121</v>
      </c>
      <c r="F33" s="131"/>
      <c r="G33" s="131" t="s">
        <v>757</v>
      </c>
      <c r="H33" s="131" t="s">
        <v>758</v>
      </c>
      <c r="I33" s="131" t="s">
        <v>372</v>
      </c>
      <c r="J33" s="213">
        <v>10</v>
      </c>
      <c r="K33" s="131" t="s">
        <v>480</v>
      </c>
      <c r="L33" s="131" t="s">
        <v>755</v>
      </c>
      <c r="M33" s="131" t="s">
        <v>412</v>
      </c>
      <c r="N33" s="131" t="s">
        <v>756</v>
      </c>
    </row>
    <row r="34" spans="1:14" ht="18.75" customHeight="1" x14ac:dyDescent="0.25">
      <c r="A34" s="130">
        <v>4</v>
      </c>
      <c r="B34" s="131" t="s">
        <v>218</v>
      </c>
      <c r="C34" s="131" t="s">
        <v>219</v>
      </c>
      <c r="D34" s="131" t="s">
        <v>220</v>
      </c>
      <c r="E34" s="134" t="s">
        <v>121</v>
      </c>
      <c r="F34" s="131"/>
      <c r="G34" s="131" t="s">
        <v>759</v>
      </c>
      <c r="H34" s="131" t="s">
        <v>760</v>
      </c>
      <c r="I34" s="131" t="s">
        <v>377</v>
      </c>
      <c r="J34" s="213">
        <v>10</v>
      </c>
      <c r="K34" s="131" t="s">
        <v>36</v>
      </c>
      <c r="L34" s="131" t="s">
        <v>761</v>
      </c>
      <c r="M34" s="131" t="s">
        <v>121</v>
      </c>
      <c r="N34" s="131" t="s">
        <v>752</v>
      </c>
    </row>
    <row r="35" spans="1:14" ht="18.75" customHeight="1" x14ac:dyDescent="0.25">
      <c r="A35" s="130">
        <v>5</v>
      </c>
      <c r="B35" s="131" t="s">
        <v>218</v>
      </c>
      <c r="C35" s="131" t="s">
        <v>219</v>
      </c>
      <c r="D35" s="131" t="s">
        <v>220</v>
      </c>
      <c r="E35" s="134" t="s">
        <v>121</v>
      </c>
      <c r="F35" s="131"/>
      <c r="G35" s="131" t="s">
        <v>762</v>
      </c>
      <c r="H35" s="131" t="s">
        <v>763</v>
      </c>
      <c r="I35" s="131" t="s">
        <v>381</v>
      </c>
      <c r="J35" s="213">
        <v>10</v>
      </c>
      <c r="K35" s="131" t="s">
        <v>480</v>
      </c>
      <c r="L35" s="131" t="s">
        <v>755</v>
      </c>
      <c r="M35" s="131" t="s">
        <v>412</v>
      </c>
      <c r="N35" s="131" t="s">
        <v>756</v>
      </c>
    </row>
    <row r="36" spans="1:14" ht="18.75" customHeight="1" x14ac:dyDescent="0.25">
      <c r="A36" s="130">
        <v>6</v>
      </c>
      <c r="B36" s="131" t="s">
        <v>218</v>
      </c>
      <c r="C36" s="131" t="s">
        <v>219</v>
      </c>
      <c r="D36" s="131" t="s">
        <v>220</v>
      </c>
      <c r="E36" s="134" t="s">
        <v>121</v>
      </c>
      <c r="F36" s="131"/>
      <c r="G36" s="131" t="s">
        <v>764</v>
      </c>
      <c r="H36" s="131" t="s">
        <v>765</v>
      </c>
      <c r="I36" s="131" t="s">
        <v>385</v>
      </c>
      <c r="J36" s="213">
        <v>10</v>
      </c>
      <c r="K36" s="131" t="s">
        <v>36</v>
      </c>
      <c r="L36" s="131" t="s">
        <v>766</v>
      </c>
      <c r="M36" s="131" t="s">
        <v>121</v>
      </c>
      <c r="N36" s="131" t="s">
        <v>752</v>
      </c>
    </row>
    <row r="37" spans="1:14" ht="18.75" customHeight="1" x14ac:dyDescent="0.25">
      <c r="A37" s="130">
        <v>7</v>
      </c>
      <c r="B37" s="131" t="s">
        <v>218</v>
      </c>
      <c r="C37" s="131" t="s">
        <v>219</v>
      </c>
      <c r="D37" s="131" t="s">
        <v>220</v>
      </c>
      <c r="E37" s="134" t="s">
        <v>121</v>
      </c>
      <c r="F37" s="131"/>
      <c r="G37" s="131" t="s">
        <v>767</v>
      </c>
      <c r="H37" s="131" t="s">
        <v>768</v>
      </c>
      <c r="I37" s="131" t="s">
        <v>389</v>
      </c>
      <c r="J37" s="213">
        <v>10</v>
      </c>
      <c r="K37" s="131" t="s">
        <v>480</v>
      </c>
      <c r="L37" s="131" t="s">
        <v>755</v>
      </c>
      <c r="M37" s="131" t="s">
        <v>412</v>
      </c>
      <c r="N37" s="131" t="s">
        <v>756</v>
      </c>
    </row>
    <row r="38" spans="1:14" ht="18.75" customHeight="1" x14ac:dyDescent="0.25">
      <c r="A38" s="130">
        <v>8</v>
      </c>
      <c r="B38" s="131" t="s">
        <v>218</v>
      </c>
      <c r="C38" s="131" t="s">
        <v>219</v>
      </c>
      <c r="D38" s="131" t="s">
        <v>220</v>
      </c>
      <c r="E38" s="134" t="s">
        <v>121</v>
      </c>
      <c r="F38" s="131"/>
      <c r="G38" s="131" t="s">
        <v>769</v>
      </c>
      <c r="H38" s="131" t="s">
        <v>770</v>
      </c>
      <c r="I38" s="131" t="s">
        <v>393</v>
      </c>
      <c r="J38" s="213">
        <v>10</v>
      </c>
      <c r="K38" s="131" t="s">
        <v>480</v>
      </c>
      <c r="L38" s="131" t="s">
        <v>755</v>
      </c>
      <c r="M38" s="131" t="s">
        <v>412</v>
      </c>
      <c r="N38" s="131" t="s">
        <v>756</v>
      </c>
    </row>
    <row r="39" spans="1:14" ht="18.75" customHeight="1" x14ac:dyDescent="0.25">
      <c r="A39" s="130">
        <v>9</v>
      </c>
      <c r="B39" s="131" t="s">
        <v>218</v>
      </c>
      <c r="C39" s="131" t="s">
        <v>219</v>
      </c>
      <c r="D39" s="131" t="s">
        <v>220</v>
      </c>
      <c r="E39" s="134" t="s">
        <v>121</v>
      </c>
      <c r="F39" s="131"/>
      <c r="G39" s="131" t="s">
        <v>771</v>
      </c>
      <c r="H39" s="131" t="s">
        <v>772</v>
      </c>
      <c r="I39" s="131" t="s">
        <v>360</v>
      </c>
      <c r="J39" s="213">
        <v>10</v>
      </c>
      <c r="K39" s="131" t="s">
        <v>36</v>
      </c>
      <c r="L39" s="131" t="s">
        <v>773</v>
      </c>
      <c r="M39" s="131" t="s">
        <v>121</v>
      </c>
      <c r="N39" s="131" t="s">
        <v>752</v>
      </c>
    </row>
    <row r="40" spans="1:14" ht="18.75" customHeight="1" x14ac:dyDescent="0.25">
      <c r="A40" s="130">
        <v>10</v>
      </c>
      <c r="B40" s="131" t="s">
        <v>218</v>
      </c>
      <c r="C40" s="131" t="s">
        <v>219</v>
      </c>
      <c r="D40" s="131" t="s">
        <v>220</v>
      </c>
      <c r="E40" s="134" t="s">
        <v>121</v>
      </c>
      <c r="F40" s="131"/>
      <c r="G40" s="131" t="s">
        <v>774</v>
      </c>
      <c r="H40" s="131" t="s">
        <v>775</v>
      </c>
      <c r="I40" s="131" t="s">
        <v>372</v>
      </c>
      <c r="J40" s="213">
        <v>10</v>
      </c>
      <c r="K40" s="131" t="s">
        <v>480</v>
      </c>
      <c r="L40" s="131" t="s">
        <v>755</v>
      </c>
      <c r="M40" s="131" t="s">
        <v>412</v>
      </c>
      <c r="N40" s="131" t="s">
        <v>756</v>
      </c>
    </row>
    <row r="41" spans="1:14" ht="18.75" customHeight="1" x14ac:dyDescent="0.25">
      <c r="A41" s="130">
        <v>11</v>
      </c>
      <c r="B41" s="131" t="s">
        <v>218</v>
      </c>
      <c r="C41" s="131" t="s">
        <v>219</v>
      </c>
      <c r="D41" s="131" t="s">
        <v>220</v>
      </c>
      <c r="E41" s="134" t="s">
        <v>121</v>
      </c>
      <c r="F41" s="131"/>
      <c r="G41" s="131" t="s">
        <v>776</v>
      </c>
      <c r="H41" s="131" t="s">
        <v>777</v>
      </c>
      <c r="I41" s="131" t="s">
        <v>404</v>
      </c>
      <c r="J41" s="213">
        <v>10</v>
      </c>
      <c r="K41" s="131" t="s">
        <v>36</v>
      </c>
      <c r="L41" s="131" t="s">
        <v>778</v>
      </c>
      <c r="M41" s="131" t="s">
        <v>121</v>
      </c>
      <c r="N41" s="131" t="s">
        <v>752</v>
      </c>
    </row>
    <row r="42" spans="1:14" ht="18.75" customHeight="1" x14ac:dyDescent="0.25">
      <c r="A42" s="130">
        <v>12</v>
      </c>
      <c r="B42" s="131" t="s">
        <v>218</v>
      </c>
      <c r="C42" s="131" t="s">
        <v>219</v>
      </c>
      <c r="D42" s="131" t="s">
        <v>220</v>
      </c>
      <c r="E42" s="134" t="s">
        <v>121</v>
      </c>
      <c r="F42" s="131"/>
      <c r="G42" s="131" t="s">
        <v>779</v>
      </c>
      <c r="H42" s="131" t="s">
        <v>780</v>
      </c>
      <c r="I42" s="131" t="s">
        <v>367</v>
      </c>
      <c r="J42" s="213">
        <v>10</v>
      </c>
      <c r="K42" s="131" t="s">
        <v>480</v>
      </c>
      <c r="L42" s="131" t="s">
        <v>755</v>
      </c>
      <c r="M42" s="131" t="s">
        <v>412</v>
      </c>
      <c r="N42" s="131" t="s">
        <v>756</v>
      </c>
    </row>
    <row r="43" spans="1:14" ht="18.75" customHeight="1" x14ac:dyDescent="0.25">
      <c r="A43" s="130">
        <v>13</v>
      </c>
      <c r="B43" s="131" t="s">
        <v>218</v>
      </c>
      <c r="C43" s="131" t="s">
        <v>219</v>
      </c>
      <c r="D43" s="131" t="s">
        <v>220</v>
      </c>
      <c r="E43" s="134" t="s">
        <v>121</v>
      </c>
      <c r="F43" s="131"/>
      <c r="G43" s="131" t="s">
        <v>781</v>
      </c>
      <c r="H43" s="131" t="s">
        <v>782</v>
      </c>
      <c r="I43" s="131" t="s">
        <v>360</v>
      </c>
      <c r="J43" s="213">
        <v>10</v>
      </c>
      <c r="K43" s="131" t="s">
        <v>36</v>
      </c>
      <c r="L43" s="131" t="s">
        <v>783</v>
      </c>
      <c r="M43" s="131" t="s">
        <v>121</v>
      </c>
      <c r="N43" s="131" t="s">
        <v>752</v>
      </c>
    </row>
    <row r="44" spans="1:14" ht="18.75" customHeight="1" x14ac:dyDescent="0.25">
      <c r="A44" s="130">
        <v>14</v>
      </c>
      <c r="B44" s="131" t="s">
        <v>218</v>
      </c>
      <c r="C44" s="131" t="s">
        <v>219</v>
      </c>
      <c r="D44" s="131" t="s">
        <v>220</v>
      </c>
      <c r="E44" s="134" t="s">
        <v>121</v>
      </c>
      <c r="F44" s="131"/>
      <c r="G44" s="131" t="s">
        <v>784</v>
      </c>
      <c r="H44" s="131" t="s">
        <v>785</v>
      </c>
      <c r="I44" s="131" t="s">
        <v>385</v>
      </c>
      <c r="J44" s="213">
        <v>10</v>
      </c>
      <c r="K44" s="131" t="s">
        <v>36</v>
      </c>
      <c r="L44" s="131" t="s">
        <v>786</v>
      </c>
      <c r="M44" s="131" t="s">
        <v>121</v>
      </c>
      <c r="N44" s="131" t="s">
        <v>752</v>
      </c>
    </row>
    <row r="45" spans="1:14" ht="18.75" customHeight="1" x14ac:dyDescent="0.25">
      <c r="A45" s="130">
        <v>15</v>
      </c>
      <c r="B45" s="131" t="s">
        <v>218</v>
      </c>
      <c r="C45" s="131" t="s">
        <v>219</v>
      </c>
      <c r="D45" s="131" t="s">
        <v>220</v>
      </c>
      <c r="E45" s="134" t="s">
        <v>121</v>
      </c>
      <c r="F45" s="131"/>
      <c r="G45" s="131" t="s">
        <v>787</v>
      </c>
      <c r="H45" s="131" t="s">
        <v>788</v>
      </c>
      <c r="I45" s="131" t="s">
        <v>421</v>
      </c>
      <c r="J45" s="213">
        <v>10</v>
      </c>
      <c r="K45" s="131" t="s">
        <v>480</v>
      </c>
      <c r="L45" s="131" t="s">
        <v>755</v>
      </c>
      <c r="M45" s="131" t="s">
        <v>412</v>
      </c>
      <c r="N45" s="131" t="s">
        <v>756</v>
      </c>
    </row>
    <row r="46" spans="1:14" ht="18.75" customHeight="1" x14ac:dyDescent="0.25">
      <c r="A46" s="130">
        <v>16</v>
      </c>
      <c r="B46" s="131" t="s">
        <v>218</v>
      </c>
      <c r="C46" s="131" t="s">
        <v>219</v>
      </c>
      <c r="D46" s="131" t="s">
        <v>220</v>
      </c>
      <c r="E46" s="134" t="s">
        <v>121</v>
      </c>
      <c r="F46" s="131"/>
      <c r="G46" s="131" t="s">
        <v>789</v>
      </c>
      <c r="H46" s="131" t="s">
        <v>790</v>
      </c>
      <c r="I46" s="131" t="s">
        <v>425</v>
      </c>
      <c r="J46" s="213">
        <v>10</v>
      </c>
      <c r="K46" s="131" t="s">
        <v>36</v>
      </c>
      <c r="L46" s="131" t="s">
        <v>791</v>
      </c>
      <c r="M46" s="131" t="s">
        <v>121</v>
      </c>
      <c r="N46" s="131" t="s">
        <v>752</v>
      </c>
    </row>
    <row r="47" spans="1:14" ht="18.75" customHeight="1" x14ac:dyDescent="0.25">
      <c r="A47" s="130">
        <v>17</v>
      </c>
      <c r="B47" s="131" t="s">
        <v>218</v>
      </c>
      <c r="C47" s="131" t="s">
        <v>219</v>
      </c>
      <c r="D47" s="131" t="s">
        <v>220</v>
      </c>
      <c r="E47" s="134" t="s">
        <v>121</v>
      </c>
      <c r="F47" s="131"/>
      <c r="G47" s="131" t="s">
        <v>792</v>
      </c>
      <c r="H47" s="131" t="s">
        <v>793</v>
      </c>
      <c r="I47" s="131" t="s">
        <v>429</v>
      </c>
      <c r="J47" s="213">
        <v>10</v>
      </c>
      <c r="K47" s="131" t="s">
        <v>480</v>
      </c>
      <c r="L47" s="131" t="s">
        <v>755</v>
      </c>
      <c r="M47" s="131" t="s">
        <v>412</v>
      </c>
      <c r="N47" s="131" t="s">
        <v>756</v>
      </c>
    </row>
    <row r="48" spans="1:14" ht="18.75" customHeight="1" x14ac:dyDescent="0.25">
      <c r="A48" s="130">
        <v>18</v>
      </c>
      <c r="B48" s="131" t="s">
        <v>218</v>
      </c>
      <c r="C48" s="131" t="s">
        <v>219</v>
      </c>
      <c r="D48" s="131" t="s">
        <v>220</v>
      </c>
      <c r="E48" s="134" t="s">
        <v>121</v>
      </c>
      <c r="F48" s="131"/>
      <c r="G48" s="131" t="s">
        <v>794</v>
      </c>
      <c r="H48" s="131" t="s">
        <v>795</v>
      </c>
      <c r="I48" s="131" t="s">
        <v>360</v>
      </c>
      <c r="J48" s="213">
        <v>10</v>
      </c>
      <c r="K48" s="131" t="s">
        <v>36</v>
      </c>
      <c r="L48" s="131" t="s">
        <v>796</v>
      </c>
      <c r="M48" s="131" t="s">
        <v>121</v>
      </c>
      <c r="N48" s="131" t="s">
        <v>752</v>
      </c>
    </row>
    <row r="49" spans="1:14" ht="18.75" customHeight="1" x14ac:dyDescent="0.25">
      <c r="A49" s="130">
        <v>19</v>
      </c>
      <c r="B49" s="131" t="s">
        <v>218</v>
      </c>
      <c r="C49" s="131" t="s">
        <v>219</v>
      </c>
      <c r="D49" s="131" t="s">
        <v>220</v>
      </c>
      <c r="E49" s="134" t="s">
        <v>121</v>
      </c>
      <c r="F49" s="131"/>
      <c r="G49" s="131" t="s">
        <v>797</v>
      </c>
      <c r="H49" s="131" t="s">
        <v>798</v>
      </c>
      <c r="I49" s="131" t="s">
        <v>436</v>
      </c>
      <c r="J49" s="213">
        <v>10</v>
      </c>
      <c r="K49" s="131" t="s">
        <v>480</v>
      </c>
      <c r="L49" s="131" t="s">
        <v>755</v>
      </c>
      <c r="M49" s="131" t="s">
        <v>412</v>
      </c>
      <c r="N49" s="131" t="s">
        <v>756</v>
      </c>
    </row>
    <row r="50" spans="1:14" ht="18.75" customHeight="1" x14ac:dyDescent="0.25">
      <c r="A50" s="130">
        <v>20</v>
      </c>
      <c r="B50" s="131" t="s">
        <v>218</v>
      </c>
      <c r="C50" s="131" t="s">
        <v>219</v>
      </c>
      <c r="D50" s="131" t="s">
        <v>220</v>
      </c>
      <c r="E50" s="134" t="s">
        <v>121</v>
      </c>
      <c r="F50" s="131"/>
      <c r="G50" s="131" t="s">
        <v>799</v>
      </c>
      <c r="H50" s="131" t="s">
        <v>800</v>
      </c>
      <c r="I50" s="131" t="s">
        <v>440</v>
      </c>
      <c r="J50" s="213">
        <v>10</v>
      </c>
      <c r="K50" s="131" t="s">
        <v>36</v>
      </c>
      <c r="L50" s="131" t="s">
        <v>801</v>
      </c>
      <c r="M50" s="131" t="s">
        <v>121</v>
      </c>
      <c r="N50" s="131" t="s">
        <v>752</v>
      </c>
    </row>
    <row r="51" spans="1:14" ht="18.75" customHeight="1" x14ac:dyDescent="0.25">
      <c r="A51" s="130">
        <v>21</v>
      </c>
      <c r="B51" s="131" t="s">
        <v>218</v>
      </c>
      <c r="C51" s="131" t="s">
        <v>219</v>
      </c>
      <c r="D51" s="131" t="s">
        <v>220</v>
      </c>
      <c r="E51" s="134" t="s">
        <v>121</v>
      </c>
      <c r="F51" s="131"/>
      <c r="G51" s="131" t="s">
        <v>802</v>
      </c>
      <c r="H51" s="131" t="s">
        <v>803</v>
      </c>
      <c r="I51" s="131" t="s">
        <v>381</v>
      </c>
      <c r="J51" s="213">
        <v>10</v>
      </c>
      <c r="K51" s="131" t="s">
        <v>480</v>
      </c>
      <c r="L51" s="131" t="s">
        <v>755</v>
      </c>
      <c r="M51" s="131" t="s">
        <v>412</v>
      </c>
      <c r="N51" s="131" t="s">
        <v>756</v>
      </c>
    </row>
    <row r="52" spans="1:14" ht="18.75" customHeight="1" x14ac:dyDescent="0.25">
      <c r="A52" s="130">
        <v>22</v>
      </c>
      <c r="B52" s="131" t="s">
        <v>218</v>
      </c>
      <c r="C52" s="131" t="s">
        <v>219</v>
      </c>
      <c r="D52" s="131" t="s">
        <v>220</v>
      </c>
      <c r="E52" s="134" t="s">
        <v>121</v>
      </c>
      <c r="F52" s="131"/>
      <c r="G52" s="131" t="s">
        <v>804</v>
      </c>
      <c r="H52" s="131" t="s">
        <v>805</v>
      </c>
      <c r="I52" s="131" t="s">
        <v>372</v>
      </c>
      <c r="J52" s="213">
        <v>10</v>
      </c>
      <c r="K52" s="131" t="s">
        <v>36</v>
      </c>
      <c r="L52" s="131" t="s">
        <v>806</v>
      </c>
      <c r="M52" s="131" t="s">
        <v>121</v>
      </c>
      <c r="N52" s="131" t="s">
        <v>752</v>
      </c>
    </row>
    <row r="53" spans="1:14" ht="18.75" customHeight="1" x14ac:dyDescent="0.25">
      <c r="A53" s="130">
        <v>23</v>
      </c>
      <c r="B53" s="131" t="s">
        <v>218</v>
      </c>
      <c r="C53" s="131" t="s">
        <v>219</v>
      </c>
      <c r="D53" s="131" t="s">
        <v>220</v>
      </c>
      <c r="E53" s="134" t="s">
        <v>121</v>
      </c>
      <c r="F53" s="131"/>
      <c r="G53" s="131" t="s">
        <v>807</v>
      </c>
      <c r="H53" s="131" t="s">
        <v>808</v>
      </c>
      <c r="I53" s="131" t="s">
        <v>451</v>
      </c>
      <c r="J53" s="213">
        <v>10</v>
      </c>
      <c r="K53" s="131" t="s">
        <v>36</v>
      </c>
      <c r="L53" s="131" t="s">
        <v>809</v>
      </c>
      <c r="M53" s="131" t="s">
        <v>121</v>
      </c>
      <c r="N53" s="131" t="s">
        <v>752</v>
      </c>
    </row>
    <row r="54" spans="1:14" ht="18.75" customHeight="1" x14ac:dyDescent="0.25">
      <c r="A54" s="130">
        <v>24</v>
      </c>
      <c r="B54" s="131" t="s">
        <v>218</v>
      </c>
      <c r="C54" s="131" t="s">
        <v>219</v>
      </c>
      <c r="D54" s="131" t="s">
        <v>220</v>
      </c>
      <c r="E54" s="134" t="s">
        <v>121</v>
      </c>
      <c r="F54" s="131"/>
      <c r="G54" s="131" t="s">
        <v>810</v>
      </c>
      <c r="H54" s="131" t="s">
        <v>811</v>
      </c>
      <c r="I54" s="131" t="s">
        <v>455</v>
      </c>
      <c r="J54" s="213">
        <v>10</v>
      </c>
      <c r="K54" s="131" t="s">
        <v>480</v>
      </c>
      <c r="L54" s="131" t="s">
        <v>755</v>
      </c>
      <c r="M54" s="131" t="s">
        <v>412</v>
      </c>
      <c r="N54" s="131" t="s">
        <v>756</v>
      </c>
    </row>
    <row r="55" spans="1:14" ht="18.75" customHeight="1" x14ac:dyDescent="0.25">
      <c r="A55" s="130">
        <v>25</v>
      </c>
      <c r="B55" s="131" t="s">
        <v>218</v>
      </c>
      <c r="C55" s="131" t="s">
        <v>219</v>
      </c>
      <c r="D55" s="131" t="s">
        <v>220</v>
      </c>
      <c r="E55" s="134" t="s">
        <v>121</v>
      </c>
      <c r="F55" s="131"/>
      <c r="G55" s="131" t="s">
        <v>812</v>
      </c>
      <c r="H55" s="131" t="s">
        <v>813</v>
      </c>
      <c r="I55" s="131" t="s">
        <v>459</v>
      </c>
      <c r="J55" s="213">
        <v>10</v>
      </c>
      <c r="K55" s="131" t="s">
        <v>36</v>
      </c>
      <c r="L55" s="131" t="s">
        <v>814</v>
      </c>
      <c r="M55" s="131" t="s">
        <v>121</v>
      </c>
      <c r="N55" s="131" t="s">
        <v>752</v>
      </c>
    </row>
    <row r="56" spans="1:14" ht="18.75" customHeight="1" x14ac:dyDescent="0.25">
      <c r="A56" s="130">
        <v>25</v>
      </c>
      <c r="B56" s="131" t="s">
        <v>218</v>
      </c>
      <c r="C56" s="131" t="s">
        <v>219</v>
      </c>
      <c r="D56" s="131" t="s">
        <v>220</v>
      </c>
      <c r="E56" s="134" t="s">
        <v>121</v>
      </c>
      <c r="F56" s="131"/>
      <c r="G56" s="131" t="s">
        <v>674</v>
      </c>
      <c r="H56" s="131" t="s">
        <v>458</v>
      </c>
      <c r="I56" s="131" t="s">
        <v>377</v>
      </c>
      <c r="J56" s="213">
        <v>13</v>
      </c>
      <c r="K56" s="131"/>
      <c r="L56" s="131"/>
      <c r="M56" s="131"/>
      <c r="N56" s="131"/>
    </row>
    <row r="57" spans="1:14" ht="26.25" customHeight="1" x14ac:dyDescent="0.25">
      <c r="A57" s="105">
        <v>1</v>
      </c>
      <c r="B57" s="105" t="s">
        <v>221</v>
      </c>
      <c r="C57" s="105" t="s">
        <v>222</v>
      </c>
      <c r="D57" s="105" t="s">
        <v>216</v>
      </c>
      <c r="E57" s="105" t="s">
        <v>104</v>
      </c>
      <c r="F57" s="105"/>
      <c r="G57" s="105" t="s">
        <v>749</v>
      </c>
      <c r="H57" s="105" t="s">
        <v>750</v>
      </c>
      <c r="I57" s="105" t="s">
        <v>360</v>
      </c>
      <c r="J57" s="201">
        <v>8</v>
      </c>
      <c r="K57" s="105" t="s">
        <v>36</v>
      </c>
      <c r="L57" s="105" t="s">
        <v>751</v>
      </c>
      <c r="M57" s="105" t="s">
        <v>104</v>
      </c>
      <c r="N57" s="105" t="s">
        <v>752</v>
      </c>
    </row>
    <row r="58" spans="1:14" ht="19.5" customHeight="1" x14ac:dyDescent="0.25">
      <c r="A58" s="281" t="s">
        <v>816</v>
      </c>
      <c r="B58" s="260"/>
      <c r="C58" s="260"/>
      <c r="D58" s="260"/>
      <c r="E58" s="260"/>
      <c r="F58" s="260"/>
      <c r="G58" s="260"/>
      <c r="H58" s="260"/>
      <c r="I58" s="260"/>
      <c r="J58" s="260"/>
      <c r="K58" s="260"/>
      <c r="L58" s="260"/>
      <c r="M58" s="260"/>
      <c r="N58" s="261"/>
    </row>
    <row r="59" spans="1:14" ht="18.75" customHeight="1" x14ac:dyDescent="0.25">
      <c r="A59" s="34">
        <v>3</v>
      </c>
      <c r="B59" s="35" t="s">
        <v>221</v>
      </c>
      <c r="C59" s="35" t="s">
        <v>222</v>
      </c>
      <c r="D59" s="35" t="s">
        <v>216</v>
      </c>
      <c r="E59" s="101" t="s">
        <v>104</v>
      </c>
      <c r="F59" s="35"/>
      <c r="G59" s="35" t="s">
        <v>757</v>
      </c>
      <c r="H59" s="35" t="s">
        <v>758</v>
      </c>
      <c r="I59" s="35" t="s">
        <v>372</v>
      </c>
      <c r="J59" s="198">
        <v>8</v>
      </c>
      <c r="K59" s="35" t="s">
        <v>480</v>
      </c>
      <c r="L59" s="35" t="s">
        <v>755</v>
      </c>
      <c r="M59" s="35" t="s">
        <v>412</v>
      </c>
      <c r="N59" s="35" t="s">
        <v>756</v>
      </c>
    </row>
    <row r="60" spans="1:14" ht="18.75" customHeight="1" x14ac:dyDescent="0.25">
      <c r="A60" s="127">
        <v>4</v>
      </c>
      <c r="B60" s="128" t="s">
        <v>221</v>
      </c>
      <c r="C60" s="128" t="s">
        <v>222</v>
      </c>
      <c r="D60" s="128" t="s">
        <v>216</v>
      </c>
      <c r="E60" s="129" t="s">
        <v>104</v>
      </c>
      <c r="F60" s="128"/>
      <c r="G60" s="128" t="s">
        <v>759</v>
      </c>
      <c r="H60" s="128" t="s">
        <v>760</v>
      </c>
      <c r="I60" s="128" t="s">
        <v>377</v>
      </c>
      <c r="J60" s="212">
        <v>8</v>
      </c>
      <c r="K60" s="128" t="s">
        <v>36</v>
      </c>
      <c r="L60" s="128" t="s">
        <v>761</v>
      </c>
      <c r="M60" s="128" t="s">
        <v>104</v>
      </c>
      <c r="N60" s="128" t="s">
        <v>752</v>
      </c>
    </row>
    <row r="61" spans="1:14" ht="18.75" customHeight="1" x14ac:dyDescent="0.25">
      <c r="A61" s="127">
        <v>5</v>
      </c>
      <c r="B61" s="128" t="s">
        <v>221</v>
      </c>
      <c r="C61" s="128" t="s">
        <v>222</v>
      </c>
      <c r="D61" s="128" t="s">
        <v>216</v>
      </c>
      <c r="E61" s="129" t="s">
        <v>104</v>
      </c>
      <c r="F61" s="128"/>
      <c r="G61" s="128" t="s">
        <v>762</v>
      </c>
      <c r="H61" s="128" t="s">
        <v>763</v>
      </c>
      <c r="I61" s="128" t="s">
        <v>381</v>
      </c>
      <c r="J61" s="212">
        <v>8</v>
      </c>
      <c r="K61" s="128" t="s">
        <v>480</v>
      </c>
      <c r="L61" s="128" t="s">
        <v>755</v>
      </c>
      <c r="M61" s="128" t="s">
        <v>412</v>
      </c>
      <c r="N61" s="128" t="s">
        <v>756</v>
      </c>
    </row>
    <row r="62" spans="1:14" ht="18.75" customHeight="1" x14ac:dyDescent="0.25">
      <c r="A62" s="127">
        <v>6</v>
      </c>
      <c r="B62" s="128" t="s">
        <v>221</v>
      </c>
      <c r="C62" s="128" t="s">
        <v>222</v>
      </c>
      <c r="D62" s="128" t="s">
        <v>216</v>
      </c>
      <c r="E62" s="129" t="s">
        <v>104</v>
      </c>
      <c r="F62" s="128"/>
      <c r="G62" s="128" t="s">
        <v>764</v>
      </c>
      <c r="H62" s="128" t="s">
        <v>765</v>
      </c>
      <c r="I62" s="128" t="s">
        <v>385</v>
      </c>
      <c r="J62" s="212">
        <v>8</v>
      </c>
      <c r="K62" s="128" t="s">
        <v>36</v>
      </c>
      <c r="L62" s="128" t="s">
        <v>766</v>
      </c>
      <c r="M62" s="128" t="s">
        <v>104</v>
      </c>
      <c r="N62" s="128" t="s">
        <v>752</v>
      </c>
    </row>
    <row r="63" spans="1:14" ht="18.75" customHeight="1" x14ac:dyDescent="0.25">
      <c r="A63" s="127">
        <v>7</v>
      </c>
      <c r="B63" s="128" t="s">
        <v>221</v>
      </c>
      <c r="C63" s="128" t="s">
        <v>222</v>
      </c>
      <c r="D63" s="128" t="s">
        <v>216</v>
      </c>
      <c r="E63" s="129" t="s">
        <v>104</v>
      </c>
      <c r="F63" s="128"/>
      <c r="G63" s="128" t="s">
        <v>767</v>
      </c>
      <c r="H63" s="128" t="s">
        <v>768</v>
      </c>
      <c r="I63" s="128" t="s">
        <v>389</v>
      </c>
      <c r="J63" s="212">
        <v>8</v>
      </c>
      <c r="K63" s="128" t="s">
        <v>480</v>
      </c>
      <c r="L63" s="128" t="s">
        <v>755</v>
      </c>
      <c r="M63" s="128" t="s">
        <v>412</v>
      </c>
      <c r="N63" s="128" t="s">
        <v>756</v>
      </c>
    </row>
    <row r="64" spans="1:14" ht="18.75" customHeight="1" x14ac:dyDescent="0.25">
      <c r="A64" s="127">
        <v>8</v>
      </c>
      <c r="B64" s="128" t="s">
        <v>221</v>
      </c>
      <c r="C64" s="128" t="s">
        <v>222</v>
      </c>
      <c r="D64" s="128" t="s">
        <v>216</v>
      </c>
      <c r="E64" s="129" t="s">
        <v>104</v>
      </c>
      <c r="F64" s="128"/>
      <c r="G64" s="128" t="s">
        <v>769</v>
      </c>
      <c r="H64" s="128" t="s">
        <v>770</v>
      </c>
      <c r="I64" s="128" t="s">
        <v>393</v>
      </c>
      <c r="J64" s="212">
        <v>8</v>
      </c>
      <c r="K64" s="128" t="s">
        <v>480</v>
      </c>
      <c r="L64" s="128" t="s">
        <v>755</v>
      </c>
      <c r="M64" s="128" t="s">
        <v>412</v>
      </c>
      <c r="N64" s="128" t="s">
        <v>756</v>
      </c>
    </row>
    <row r="65" spans="1:14" ht="18.75" customHeight="1" x14ac:dyDescent="0.25">
      <c r="A65" s="127">
        <v>9</v>
      </c>
      <c r="B65" s="128" t="s">
        <v>221</v>
      </c>
      <c r="C65" s="128" t="s">
        <v>222</v>
      </c>
      <c r="D65" s="128" t="s">
        <v>216</v>
      </c>
      <c r="E65" s="129" t="s">
        <v>104</v>
      </c>
      <c r="F65" s="128"/>
      <c r="G65" s="128" t="s">
        <v>771</v>
      </c>
      <c r="H65" s="128" t="s">
        <v>772</v>
      </c>
      <c r="I65" s="128" t="s">
        <v>360</v>
      </c>
      <c r="J65" s="212">
        <v>8</v>
      </c>
      <c r="K65" s="128" t="s">
        <v>36</v>
      </c>
      <c r="L65" s="128" t="s">
        <v>773</v>
      </c>
      <c r="M65" s="128" t="s">
        <v>104</v>
      </c>
      <c r="N65" s="128" t="s">
        <v>752</v>
      </c>
    </row>
    <row r="66" spans="1:14" ht="18.75" customHeight="1" x14ac:dyDescent="0.25">
      <c r="A66" s="127">
        <v>10</v>
      </c>
      <c r="B66" s="128" t="s">
        <v>221</v>
      </c>
      <c r="C66" s="128" t="s">
        <v>222</v>
      </c>
      <c r="D66" s="128" t="s">
        <v>216</v>
      </c>
      <c r="E66" s="129" t="s">
        <v>104</v>
      </c>
      <c r="F66" s="128"/>
      <c r="G66" s="128" t="s">
        <v>774</v>
      </c>
      <c r="H66" s="128" t="s">
        <v>775</v>
      </c>
      <c r="I66" s="128" t="s">
        <v>372</v>
      </c>
      <c r="J66" s="212">
        <v>8</v>
      </c>
      <c r="K66" s="128" t="s">
        <v>480</v>
      </c>
      <c r="L66" s="128" t="s">
        <v>755</v>
      </c>
      <c r="M66" s="128" t="s">
        <v>412</v>
      </c>
      <c r="N66" s="128" t="s">
        <v>756</v>
      </c>
    </row>
    <row r="67" spans="1:14" ht="18.75" customHeight="1" x14ac:dyDescent="0.25">
      <c r="A67" s="127">
        <v>11</v>
      </c>
      <c r="B67" s="128" t="s">
        <v>221</v>
      </c>
      <c r="C67" s="128" t="s">
        <v>222</v>
      </c>
      <c r="D67" s="128" t="s">
        <v>216</v>
      </c>
      <c r="E67" s="129" t="s">
        <v>104</v>
      </c>
      <c r="F67" s="128"/>
      <c r="G67" s="128" t="s">
        <v>776</v>
      </c>
      <c r="H67" s="128" t="s">
        <v>777</v>
      </c>
      <c r="I67" s="128" t="s">
        <v>404</v>
      </c>
      <c r="J67" s="212">
        <v>8</v>
      </c>
      <c r="K67" s="128" t="s">
        <v>36</v>
      </c>
      <c r="L67" s="128" t="s">
        <v>778</v>
      </c>
      <c r="M67" s="128" t="s">
        <v>104</v>
      </c>
      <c r="N67" s="128" t="s">
        <v>752</v>
      </c>
    </row>
    <row r="68" spans="1:14" ht="18.75" customHeight="1" x14ac:dyDescent="0.25">
      <c r="A68" s="127">
        <v>12</v>
      </c>
      <c r="B68" s="128" t="s">
        <v>221</v>
      </c>
      <c r="C68" s="128" t="s">
        <v>222</v>
      </c>
      <c r="D68" s="128" t="s">
        <v>216</v>
      </c>
      <c r="E68" s="129" t="s">
        <v>104</v>
      </c>
      <c r="F68" s="128"/>
      <c r="G68" s="128" t="s">
        <v>779</v>
      </c>
      <c r="H68" s="128" t="s">
        <v>780</v>
      </c>
      <c r="I68" s="128" t="s">
        <v>367</v>
      </c>
      <c r="J68" s="212">
        <v>8</v>
      </c>
      <c r="K68" s="128" t="s">
        <v>480</v>
      </c>
      <c r="L68" s="128" t="s">
        <v>755</v>
      </c>
      <c r="M68" s="128" t="s">
        <v>412</v>
      </c>
      <c r="N68" s="128" t="s">
        <v>756</v>
      </c>
    </row>
    <row r="69" spans="1:14" ht="18.75" customHeight="1" x14ac:dyDescent="0.25">
      <c r="A69" s="127">
        <v>13</v>
      </c>
      <c r="B69" s="128" t="s">
        <v>221</v>
      </c>
      <c r="C69" s="128" t="s">
        <v>222</v>
      </c>
      <c r="D69" s="128" t="s">
        <v>216</v>
      </c>
      <c r="E69" s="129" t="s">
        <v>104</v>
      </c>
      <c r="F69" s="128"/>
      <c r="G69" s="128" t="s">
        <v>781</v>
      </c>
      <c r="H69" s="128" t="s">
        <v>782</v>
      </c>
      <c r="I69" s="128" t="s">
        <v>360</v>
      </c>
      <c r="J69" s="212">
        <v>8</v>
      </c>
      <c r="K69" s="128" t="s">
        <v>36</v>
      </c>
      <c r="L69" s="128" t="s">
        <v>783</v>
      </c>
      <c r="M69" s="128" t="s">
        <v>104</v>
      </c>
      <c r="N69" s="128" t="s">
        <v>752</v>
      </c>
    </row>
    <row r="70" spans="1:14" ht="18.75" customHeight="1" x14ac:dyDescent="0.25">
      <c r="A70" s="127">
        <v>14</v>
      </c>
      <c r="B70" s="128" t="s">
        <v>221</v>
      </c>
      <c r="C70" s="128" t="s">
        <v>222</v>
      </c>
      <c r="D70" s="128" t="s">
        <v>216</v>
      </c>
      <c r="E70" s="129" t="s">
        <v>104</v>
      </c>
      <c r="F70" s="128"/>
      <c r="G70" s="128" t="s">
        <v>784</v>
      </c>
      <c r="H70" s="128" t="s">
        <v>785</v>
      </c>
      <c r="I70" s="128" t="s">
        <v>385</v>
      </c>
      <c r="J70" s="212">
        <v>8</v>
      </c>
      <c r="K70" s="128" t="s">
        <v>36</v>
      </c>
      <c r="L70" s="128" t="s">
        <v>786</v>
      </c>
      <c r="M70" s="128" t="s">
        <v>104</v>
      </c>
      <c r="N70" s="128" t="s">
        <v>752</v>
      </c>
    </row>
    <row r="71" spans="1:14" ht="18.75" customHeight="1" x14ac:dyDescent="0.25">
      <c r="A71" s="127">
        <v>15</v>
      </c>
      <c r="B71" s="128" t="s">
        <v>221</v>
      </c>
      <c r="C71" s="128" t="s">
        <v>222</v>
      </c>
      <c r="D71" s="128" t="s">
        <v>216</v>
      </c>
      <c r="E71" s="129" t="s">
        <v>104</v>
      </c>
      <c r="F71" s="128"/>
      <c r="G71" s="128" t="s">
        <v>787</v>
      </c>
      <c r="H71" s="128" t="s">
        <v>788</v>
      </c>
      <c r="I71" s="128" t="s">
        <v>421</v>
      </c>
      <c r="J71" s="212">
        <v>8</v>
      </c>
      <c r="K71" s="128" t="s">
        <v>480</v>
      </c>
      <c r="L71" s="128" t="s">
        <v>755</v>
      </c>
      <c r="M71" s="128" t="s">
        <v>412</v>
      </c>
      <c r="N71" s="128" t="s">
        <v>756</v>
      </c>
    </row>
    <row r="72" spans="1:14" ht="18.75" customHeight="1" x14ac:dyDescent="0.25">
      <c r="A72" s="127">
        <v>16</v>
      </c>
      <c r="B72" s="128" t="s">
        <v>221</v>
      </c>
      <c r="C72" s="128" t="s">
        <v>222</v>
      </c>
      <c r="D72" s="128" t="s">
        <v>216</v>
      </c>
      <c r="E72" s="129" t="s">
        <v>104</v>
      </c>
      <c r="F72" s="128"/>
      <c r="G72" s="128" t="s">
        <v>789</v>
      </c>
      <c r="H72" s="128" t="s">
        <v>790</v>
      </c>
      <c r="I72" s="128" t="s">
        <v>425</v>
      </c>
      <c r="J72" s="212">
        <v>8</v>
      </c>
      <c r="K72" s="128" t="s">
        <v>36</v>
      </c>
      <c r="L72" s="128" t="s">
        <v>791</v>
      </c>
      <c r="M72" s="128" t="s">
        <v>104</v>
      </c>
      <c r="N72" s="128" t="s">
        <v>752</v>
      </c>
    </row>
    <row r="73" spans="1:14" ht="18.75" customHeight="1" x14ac:dyDescent="0.25">
      <c r="A73" s="127">
        <v>17</v>
      </c>
      <c r="B73" s="128" t="s">
        <v>221</v>
      </c>
      <c r="C73" s="128" t="s">
        <v>222</v>
      </c>
      <c r="D73" s="128" t="s">
        <v>216</v>
      </c>
      <c r="E73" s="129" t="s">
        <v>104</v>
      </c>
      <c r="F73" s="128"/>
      <c r="G73" s="128" t="s">
        <v>792</v>
      </c>
      <c r="H73" s="128" t="s">
        <v>793</v>
      </c>
      <c r="I73" s="128" t="s">
        <v>429</v>
      </c>
      <c r="J73" s="212">
        <v>8</v>
      </c>
      <c r="K73" s="128" t="s">
        <v>480</v>
      </c>
      <c r="L73" s="128" t="s">
        <v>755</v>
      </c>
      <c r="M73" s="128" t="s">
        <v>412</v>
      </c>
      <c r="N73" s="128" t="s">
        <v>756</v>
      </c>
    </row>
    <row r="74" spans="1:14" ht="18.75" customHeight="1" x14ac:dyDescent="0.25">
      <c r="A74" s="127">
        <v>18</v>
      </c>
      <c r="B74" s="128" t="s">
        <v>221</v>
      </c>
      <c r="C74" s="128" t="s">
        <v>222</v>
      </c>
      <c r="D74" s="128" t="s">
        <v>216</v>
      </c>
      <c r="E74" s="129" t="s">
        <v>104</v>
      </c>
      <c r="F74" s="128"/>
      <c r="G74" s="128" t="s">
        <v>794</v>
      </c>
      <c r="H74" s="128" t="s">
        <v>795</v>
      </c>
      <c r="I74" s="128" t="s">
        <v>360</v>
      </c>
      <c r="J74" s="212">
        <v>8</v>
      </c>
      <c r="K74" s="128" t="s">
        <v>36</v>
      </c>
      <c r="L74" s="128" t="s">
        <v>796</v>
      </c>
      <c r="M74" s="128" t="s">
        <v>104</v>
      </c>
      <c r="N74" s="128" t="s">
        <v>752</v>
      </c>
    </row>
    <row r="75" spans="1:14" ht="18.75" customHeight="1" x14ac:dyDescent="0.25">
      <c r="A75" s="127">
        <v>19</v>
      </c>
      <c r="B75" s="128" t="s">
        <v>221</v>
      </c>
      <c r="C75" s="128" t="s">
        <v>222</v>
      </c>
      <c r="D75" s="128" t="s">
        <v>216</v>
      </c>
      <c r="E75" s="129" t="s">
        <v>104</v>
      </c>
      <c r="F75" s="128"/>
      <c r="G75" s="128" t="s">
        <v>797</v>
      </c>
      <c r="H75" s="128" t="s">
        <v>798</v>
      </c>
      <c r="I75" s="128" t="s">
        <v>436</v>
      </c>
      <c r="J75" s="212">
        <v>8</v>
      </c>
      <c r="K75" s="128" t="s">
        <v>480</v>
      </c>
      <c r="L75" s="128" t="s">
        <v>755</v>
      </c>
      <c r="M75" s="128" t="s">
        <v>412</v>
      </c>
      <c r="N75" s="128" t="s">
        <v>756</v>
      </c>
    </row>
    <row r="76" spans="1:14" ht="18.75" customHeight="1" x14ac:dyDescent="0.25">
      <c r="A76" s="127">
        <v>20</v>
      </c>
      <c r="B76" s="128" t="s">
        <v>221</v>
      </c>
      <c r="C76" s="128" t="s">
        <v>222</v>
      </c>
      <c r="D76" s="128" t="s">
        <v>216</v>
      </c>
      <c r="E76" s="129" t="s">
        <v>104</v>
      </c>
      <c r="F76" s="128"/>
      <c r="G76" s="128" t="s">
        <v>799</v>
      </c>
      <c r="H76" s="128" t="s">
        <v>800</v>
      </c>
      <c r="I76" s="128" t="s">
        <v>440</v>
      </c>
      <c r="J76" s="212">
        <v>8</v>
      </c>
      <c r="K76" s="128" t="s">
        <v>36</v>
      </c>
      <c r="L76" s="128" t="s">
        <v>801</v>
      </c>
      <c r="M76" s="128" t="s">
        <v>104</v>
      </c>
      <c r="N76" s="128" t="s">
        <v>752</v>
      </c>
    </row>
    <row r="77" spans="1:14" ht="18.75" customHeight="1" x14ac:dyDescent="0.25">
      <c r="A77" s="127">
        <v>21</v>
      </c>
      <c r="B77" s="128" t="s">
        <v>221</v>
      </c>
      <c r="C77" s="128" t="s">
        <v>222</v>
      </c>
      <c r="D77" s="128" t="s">
        <v>216</v>
      </c>
      <c r="E77" s="129" t="s">
        <v>104</v>
      </c>
      <c r="F77" s="128"/>
      <c r="G77" s="128" t="s">
        <v>802</v>
      </c>
      <c r="H77" s="128" t="s">
        <v>803</v>
      </c>
      <c r="I77" s="128" t="s">
        <v>381</v>
      </c>
      <c r="J77" s="212">
        <v>8</v>
      </c>
      <c r="K77" s="128" t="s">
        <v>480</v>
      </c>
      <c r="L77" s="128" t="s">
        <v>755</v>
      </c>
      <c r="M77" s="128" t="s">
        <v>412</v>
      </c>
      <c r="N77" s="128" t="s">
        <v>756</v>
      </c>
    </row>
    <row r="78" spans="1:14" ht="18.75" customHeight="1" x14ac:dyDescent="0.25">
      <c r="A78" s="127">
        <v>22</v>
      </c>
      <c r="B78" s="128" t="s">
        <v>221</v>
      </c>
      <c r="C78" s="128" t="s">
        <v>222</v>
      </c>
      <c r="D78" s="128" t="s">
        <v>216</v>
      </c>
      <c r="E78" s="129" t="s">
        <v>104</v>
      </c>
      <c r="F78" s="128"/>
      <c r="G78" s="128" t="s">
        <v>804</v>
      </c>
      <c r="H78" s="128" t="s">
        <v>805</v>
      </c>
      <c r="I78" s="128" t="s">
        <v>372</v>
      </c>
      <c r="J78" s="212">
        <v>8</v>
      </c>
      <c r="K78" s="128" t="s">
        <v>36</v>
      </c>
      <c r="L78" s="128" t="s">
        <v>806</v>
      </c>
      <c r="M78" s="128" t="s">
        <v>104</v>
      </c>
      <c r="N78" s="128" t="s">
        <v>752</v>
      </c>
    </row>
    <row r="79" spans="1:14" ht="18.75" customHeight="1" x14ac:dyDescent="0.25">
      <c r="A79" s="127">
        <v>23</v>
      </c>
      <c r="B79" s="128" t="s">
        <v>221</v>
      </c>
      <c r="C79" s="128" t="s">
        <v>222</v>
      </c>
      <c r="D79" s="128" t="s">
        <v>216</v>
      </c>
      <c r="E79" s="129" t="s">
        <v>104</v>
      </c>
      <c r="F79" s="128"/>
      <c r="G79" s="128" t="s">
        <v>807</v>
      </c>
      <c r="H79" s="128" t="s">
        <v>808</v>
      </c>
      <c r="I79" s="128" t="s">
        <v>451</v>
      </c>
      <c r="J79" s="212">
        <v>8</v>
      </c>
      <c r="K79" s="128" t="s">
        <v>36</v>
      </c>
      <c r="L79" s="128" t="s">
        <v>809</v>
      </c>
      <c r="M79" s="128" t="s">
        <v>104</v>
      </c>
      <c r="N79" s="128" t="s">
        <v>752</v>
      </c>
    </row>
    <row r="80" spans="1:14" ht="18.75" customHeight="1" x14ac:dyDescent="0.25">
      <c r="A80" s="127">
        <v>24</v>
      </c>
      <c r="B80" s="128" t="s">
        <v>221</v>
      </c>
      <c r="C80" s="128" t="s">
        <v>222</v>
      </c>
      <c r="D80" s="128" t="s">
        <v>216</v>
      </c>
      <c r="E80" s="129" t="s">
        <v>104</v>
      </c>
      <c r="F80" s="128"/>
      <c r="G80" s="128" t="s">
        <v>810</v>
      </c>
      <c r="H80" s="128" t="s">
        <v>811</v>
      </c>
      <c r="I80" s="128" t="s">
        <v>455</v>
      </c>
      <c r="J80" s="212">
        <v>8</v>
      </c>
      <c r="K80" s="128" t="s">
        <v>480</v>
      </c>
      <c r="L80" s="128" t="s">
        <v>755</v>
      </c>
      <c r="M80" s="128" t="s">
        <v>412</v>
      </c>
      <c r="N80" s="128" t="s">
        <v>756</v>
      </c>
    </row>
    <row r="81" spans="1:14" ht="18.75" customHeight="1" x14ac:dyDescent="0.25">
      <c r="A81" s="127">
        <v>25</v>
      </c>
      <c r="B81" s="128" t="s">
        <v>221</v>
      </c>
      <c r="C81" s="128" t="s">
        <v>222</v>
      </c>
      <c r="D81" s="128" t="s">
        <v>216</v>
      </c>
      <c r="E81" s="129" t="s">
        <v>104</v>
      </c>
      <c r="F81" s="128"/>
      <c r="G81" s="128" t="s">
        <v>812</v>
      </c>
      <c r="H81" s="128" t="s">
        <v>813</v>
      </c>
      <c r="I81" s="128" t="s">
        <v>459</v>
      </c>
      <c r="J81" s="212">
        <v>8</v>
      </c>
      <c r="K81" s="128" t="s">
        <v>36</v>
      </c>
      <c r="L81" s="128" t="s">
        <v>814</v>
      </c>
      <c r="M81" s="128" t="s">
        <v>104</v>
      </c>
      <c r="N81" s="128" t="s">
        <v>752</v>
      </c>
    </row>
    <row r="82" spans="1:14" ht="18.75" customHeight="1" x14ac:dyDescent="0.25">
      <c r="A82" s="127">
        <v>24</v>
      </c>
      <c r="B82" s="128" t="s">
        <v>221</v>
      </c>
      <c r="C82" s="128" t="s">
        <v>222</v>
      </c>
      <c r="D82" s="128" t="s">
        <v>216</v>
      </c>
      <c r="E82" s="129" t="s">
        <v>104</v>
      </c>
      <c r="F82" s="128"/>
      <c r="G82" s="128" t="s">
        <v>676</v>
      </c>
      <c r="H82" s="128" t="s">
        <v>454</v>
      </c>
      <c r="I82" s="128" t="s">
        <v>646</v>
      </c>
      <c r="J82" s="212">
        <v>15</v>
      </c>
      <c r="K82" s="128"/>
      <c r="L82" s="128"/>
      <c r="M82" s="128"/>
      <c r="N82" s="128"/>
    </row>
    <row r="83" spans="1:14" ht="18.75" customHeight="1" x14ac:dyDescent="0.25">
      <c r="A83" s="127">
        <v>1</v>
      </c>
      <c r="B83" s="128" t="s">
        <v>223</v>
      </c>
      <c r="C83" s="128" t="s">
        <v>224</v>
      </c>
      <c r="D83" s="128" t="s">
        <v>216</v>
      </c>
      <c r="E83" s="129" t="s">
        <v>209</v>
      </c>
      <c r="F83" s="128"/>
      <c r="G83" s="128" t="s">
        <v>749</v>
      </c>
      <c r="H83" s="128" t="s">
        <v>750</v>
      </c>
      <c r="I83" s="128" t="s">
        <v>360</v>
      </c>
      <c r="J83" s="212">
        <v>2</v>
      </c>
      <c r="K83" s="128" t="s">
        <v>36</v>
      </c>
      <c r="L83" s="128" t="s">
        <v>751</v>
      </c>
      <c r="M83" s="128" t="s">
        <v>209</v>
      </c>
      <c r="N83" s="128" t="s">
        <v>752</v>
      </c>
    </row>
    <row r="84" spans="1:14" ht="24.75" customHeight="1" x14ac:dyDescent="0.25">
      <c r="A84" s="105">
        <v>2</v>
      </c>
      <c r="B84" s="105" t="s">
        <v>223</v>
      </c>
      <c r="C84" s="105" t="s">
        <v>224</v>
      </c>
      <c r="D84" s="105" t="s">
        <v>216</v>
      </c>
      <c r="E84" s="105" t="s">
        <v>209</v>
      </c>
      <c r="F84" s="105"/>
      <c r="G84" s="105" t="s">
        <v>753</v>
      </c>
      <c r="H84" s="105" t="s">
        <v>754</v>
      </c>
      <c r="I84" s="105" t="s">
        <v>367</v>
      </c>
      <c r="J84" s="201">
        <v>2</v>
      </c>
      <c r="K84" s="105" t="s">
        <v>480</v>
      </c>
      <c r="L84" s="105" t="s">
        <v>755</v>
      </c>
      <c r="M84" s="105" t="s">
        <v>412</v>
      </c>
      <c r="N84" s="105" t="s">
        <v>756</v>
      </c>
    </row>
    <row r="85" spans="1:14" ht="19.5" customHeight="1" x14ac:dyDescent="0.25">
      <c r="A85" s="281" t="s">
        <v>817</v>
      </c>
      <c r="B85" s="260"/>
      <c r="C85" s="260"/>
      <c r="D85" s="260"/>
      <c r="E85" s="260"/>
      <c r="F85" s="260"/>
      <c r="G85" s="260"/>
      <c r="H85" s="260"/>
      <c r="I85" s="260"/>
      <c r="J85" s="260"/>
      <c r="K85" s="260"/>
      <c r="L85" s="260"/>
      <c r="M85" s="260"/>
      <c r="N85" s="261"/>
    </row>
    <row r="86" spans="1:14" ht="18.75" customHeight="1" x14ac:dyDescent="0.25">
      <c r="A86" s="34">
        <v>4</v>
      </c>
      <c r="B86" s="35" t="s">
        <v>223</v>
      </c>
      <c r="C86" s="35" t="s">
        <v>224</v>
      </c>
      <c r="D86" s="35" t="s">
        <v>216</v>
      </c>
      <c r="E86" s="144" t="s">
        <v>209</v>
      </c>
      <c r="F86" s="35"/>
      <c r="G86" s="35" t="s">
        <v>759</v>
      </c>
      <c r="H86" s="35" t="s">
        <v>760</v>
      </c>
      <c r="I86" s="35" t="s">
        <v>377</v>
      </c>
      <c r="J86" s="198">
        <v>2</v>
      </c>
      <c r="K86" s="35" t="s">
        <v>36</v>
      </c>
      <c r="L86" s="35" t="s">
        <v>761</v>
      </c>
      <c r="M86" s="35" t="s">
        <v>209</v>
      </c>
      <c r="N86" s="35" t="s">
        <v>752</v>
      </c>
    </row>
    <row r="87" spans="1:14" ht="18.75" customHeight="1" x14ac:dyDescent="0.25">
      <c r="A87" s="130">
        <v>5</v>
      </c>
      <c r="B87" s="131" t="s">
        <v>223</v>
      </c>
      <c r="C87" s="131" t="s">
        <v>224</v>
      </c>
      <c r="D87" s="131" t="s">
        <v>216</v>
      </c>
      <c r="E87" s="149" t="s">
        <v>209</v>
      </c>
      <c r="F87" s="131"/>
      <c r="G87" s="131" t="s">
        <v>762</v>
      </c>
      <c r="H87" s="131" t="s">
        <v>763</v>
      </c>
      <c r="I87" s="131" t="s">
        <v>381</v>
      </c>
      <c r="J87" s="213">
        <v>2</v>
      </c>
      <c r="K87" s="131" t="s">
        <v>480</v>
      </c>
      <c r="L87" s="131" t="s">
        <v>755</v>
      </c>
      <c r="M87" s="131" t="s">
        <v>412</v>
      </c>
      <c r="N87" s="131" t="s">
        <v>756</v>
      </c>
    </row>
    <row r="88" spans="1:14" ht="18.75" customHeight="1" x14ac:dyDescent="0.25">
      <c r="A88" s="130">
        <v>6</v>
      </c>
      <c r="B88" s="131" t="s">
        <v>223</v>
      </c>
      <c r="C88" s="131" t="s">
        <v>224</v>
      </c>
      <c r="D88" s="131" t="s">
        <v>216</v>
      </c>
      <c r="E88" s="149" t="s">
        <v>209</v>
      </c>
      <c r="F88" s="131"/>
      <c r="G88" s="131" t="s">
        <v>764</v>
      </c>
      <c r="H88" s="131" t="s">
        <v>765</v>
      </c>
      <c r="I88" s="131" t="s">
        <v>385</v>
      </c>
      <c r="J88" s="213">
        <v>2</v>
      </c>
      <c r="K88" s="131" t="s">
        <v>36</v>
      </c>
      <c r="L88" s="131" t="s">
        <v>766</v>
      </c>
      <c r="M88" s="131" t="s">
        <v>209</v>
      </c>
      <c r="N88" s="131" t="s">
        <v>752</v>
      </c>
    </row>
    <row r="89" spans="1:14" ht="18.75" customHeight="1" x14ac:dyDescent="0.25">
      <c r="A89" s="130">
        <v>7</v>
      </c>
      <c r="B89" s="131" t="s">
        <v>223</v>
      </c>
      <c r="C89" s="131" t="s">
        <v>224</v>
      </c>
      <c r="D89" s="131" t="s">
        <v>216</v>
      </c>
      <c r="E89" s="149" t="s">
        <v>209</v>
      </c>
      <c r="F89" s="131"/>
      <c r="G89" s="131" t="s">
        <v>767</v>
      </c>
      <c r="H89" s="131" t="s">
        <v>768</v>
      </c>
      <c r="I89" s="131" t="s">
        <v>389</v>
      </c>
      <c r="J89" s="213">
        <v>2</v>
      </c>
      <c r="K89" s="131" t="s">
        <v>480</v>
      </c>
      <c r="L89" s="131" t="s">
        <v>755</v>
      </c>
      <c r="M89" s="131" t="s">
        <v>412</v>
      </c>
      <c r="N89" s="131" t="s">
        <v>756</v>
      </c>
    </row>
    <row r="90" spans="1:14" ht="18.75" customHeight="1" x14ac:dyDescent="0.25">
      <c r="A90" s="130">
        <v>8</v>
      </c>
      <c r="B90" s="131" t="s">
        <v>223</v>
      </c>
      <c r="C90" s="131" t="s">
        <v>224</v>
      </c>
      <c r="D90" s="131" t="s">
        <v>216</v>
      </c>
      <c r="E90" s="149" t="s">
        <v>209</v>
      </c>
      <c r="F90" s="131"/>
      <c r="G90" s="131" t="s">
        <v>769</v>
      </c>
      <c r="H90" s="131" t="s">
        <v>770</v>
      </c>
      <c r="I90" s="131" t="s">
        <v>393</v>
      </c>
      <c r="J90" s="213">
        <v>2</v>
      </c>
      <c r="K90" s="131" t="s">
        <v>480</v>
      </c>
      <c r="L90" s="131" t="s">
        <v>755</v>
      </c>
      <c r="M90" s="131" t="s">
        <v>412</v>
      </c>
      <c r="N90" s="131" t="s">
        <v>756</v>
      </c>
    </row>
    <row r="91" spans="1:14" ht="18.75" customHeight="1" x14ac:dyDescent="0.25">
      <c r="A91" s="130">
        <v>9</v>
      </c>
      <c r="B91" s="131" t="s">
        <v>223</v>
      </c>
      <c r="C91" s="131" t="s">
        <v>224</v>
      </c>
      <c r="D91" s="131" t="s">
        <v>216</v>
      </c>
      <c r="E91" s="149" t="s">
        <v>209</v>
      </c>
      <c r="F91" s="131"/>
      <c r="G91" s="131" t="s">
        <v>771</v>
      </c>
      <c r="H91" s="131" t="s">
        <v>772</v>
      </c>
      <c r="I91" s="131" t="s">
        <v>360</v>
      </c>
      <c r="J91" s="213">
        <v>2</v>
      </c>
      <c r="K91" s="131" t="s">
        <v>36</v>
      </c>
      <c r="L91" s="131" t="s">
        <v>773</v>
      </c>
      <c r="M91" s="131" t="s">
        <v>209</v>
      </c>
      <c r="N91" s="131" t="s">
        <v>752</v>
      </c>
    </row>
    <row r="92" spans="1:14" ht="18.75" customHeight="1" x14ac:dyDescent="0.25">
      <c r="A92" s="130">
        <v>10</v>
      </c>
      <c r="B92" s="131" t="s">
        <v>223</v>
      </c>
      <c r="C92" s="131" t="s">
        <v>224</v>
      </c>
      <c r="D92" s="131" t="s">
        <v>216</v>
      </c>
      <c r="E92" s="149" t="s">
        <v>209</v>
      </c>
      <c r="F92" s="131"/>
      <c r="G92" s="131" t="s">
        <v>774</v>
      </c>
      <c r="H92" s="131" t="s">
        <v>775</v>
      </c>
      <c r="I92" s="131" t="s">
        <v>372</v>
      </c>
      <c r="J92" s="213">
        <v>2</v>
      </c>
      <c r="K92" s="131" t="s">
        <v>480</v>
      </c>
      <c r="L92" s="131" t="s">
        <v>755</v>
      </c>
      <c r="M92" s="131" t="s">
        <v>412</v>
      </c>
      <c r="N92" s="131" t="s">
        <v>756</v>
      </c>
    </row>
    <row r="93" spans="1:14" ht="18.75" customHeight="1" x14ac:dyDescent="0.25">
      <c r="A93" s="130">
        <v>11</v>
      </c>
      <c r="B93" s="131" t="s">
        <v>223</v>
      </c>
      <c r="C93" s="131" t="s">
        <v>224</v>
      </c>
      <c r="D93" s="131" t="s">
        <v>216</v>
      </c>
      <c r="E93" s="149" t="s">
        <v>209</v>
      </c>
      <c r="F93" s="131"/>
      <c r="G93" s="131" t="s">
        <v>776</v>
      </c>
      <c r="H93" s="131" t="s">
        <v>777</v>
      </c>
      <c r="I93" s="131" t="s">
        <v>404</v>
      </c>
      <c r="J93" s="213">
        <v>2</v>
      </c>
      <c r="K93" s="131" t="s">
        <v>36</v>
      </c>
      <c r="L93" s="131" t="s">
        <v>778</v>
      </c>
      <c r="M93" s="131" t="s">
        <v>209</v>
      </c>
      <c r="N93" s="131" t="s">
        <v>752</v>
      </c>
    </row>
    <row r="94" spans="1:14" ht="18.75" customHeight="1" x14ac:dyDescent="0.25">
      <c r="A94" s="130">
        <v>12</v>
      </c>
      <c r="B94" s="131" t="s">
        <v>223</v>
      </c>
      <c r="C94" s="131" t="s">
        <v>224</v>
      </c>
      <c r="D94" s="131" t="s">
        <v>216</v>
      </c>
      <c r="E94" s="149" t="s">
        <v>209</v>
      </c>
      <c r="F94" s="131"/>
      <c r="G94" s="131" t="s">
        <v>779</v>
      </c>
      <c r="H94" s="131" t="s">
        <v>780</v>
      </c>
      <c r="I94" s="131" t="s">
        <v>367</v>
      </c>
      <c r="J94" s="213">
        <v>2</v>
      </c>
      <c r="K94" s="131" t="s">
        <v>480</v>
      </c>
      <c r="L94" s="131" t="s">
        <v>755</v>
      </c>
      <c r="M94" s="131" t="s">
        <v>412</v>
      </c>
      <c r="N94" s="131" t="s">
        <v>756</v>
      </c>
    </row>
    <row r="95" spans="1:14" ht="18.75" customHeight="1" x14ac:dyDescent="0.25">
      <c r="A95" s="130">
        <v>13</v>
      </c>
      <c r="B95" s="131" t="s">
        <v>223</v>
      </c>
      <c r="C95" s="131" t="s">
        <v>224</v>
      </c>
      <c r="D95" s="131" t="s">
        <v>216</v>
      </c>
      <c r="E95" s="149" t="s">
        <v>209</v>
      </c>
      <c r="F95" s="131"/>
      <c r="G95" s="131" t="s">
        <v>781</v>
      </c>
      <c r="H95" s="131" t="s">
        <v>782</v>
      </c>
      <c r="I95" s="131" t="s">
        <v>360</v>
      </c>
      <c r="J95" s="213">
        <v>2</v>
      </c>
      <c r="K95" s="131" t="s">
        <v>36</v>
      </c>
      <c r="L95" s="131" t="s">
        <v>783</v>
      </c>
      <c r="M95" s="131" t="s">
        <v>209</v>
      </c>
      <c r="N95" s="131" t="s">
        <v>752</v>
      </c>
    </row>
    <row r="96" spans="1:14" ht="18.75" customHeight="1" x14ac:dyDescent="0.25">
      <c r="A96" s="130">
        <v>14</v>
      </c>
      <c r="B96" s="131" t="s">
        <v>223</v>
      </c>
      <c r="C96" s="131" t="s">
        <v>224</v>
      </c>
      <c r="D96" s="131" t="s">
        <v>216</v>
      </c>
      <c r="E96" s="149" t="s">
        <v>209</v>
      </c>
      <c r="F96" s="131"/>
      <c r="G96" s="131" t="s">
        <v>784</v>
      </c>
      <c r="H96" s="131" t="s">
        <v>785</v>
      </c>
      <c r="I96" s="131" t="s">
        <v>385</v>
      </c>
      <c r="J96" s="213">
        <v>2</v>
      </c>
      <c r="K96" s="131" t="s">
        <v>36</v>
      </c>
      <c r="L96" s="131" t="s">
        <v>786</v>
      </c>
      <c r="M96" s="131" t="s">
        <v>209</v>
      </c>
      <c r="N96" s="131" t="s">
        <v>752</v>
      </c>
    </row>
    <row r="97" spans="1:14" ht="18.75" customHeight="1" x14ac:dyDescent="0.25">
      <c r="A97" s="130">
        <v>15</v>
      </c>
      <c r="B97" s="131" t="s">
        <v>223</v>
      </c>
      <c r="C97" s="131" t="s">
        <v>224</v>
      </c>
      <c r="D97" s="131" t="s">
        <v>216</v>
      </c>
      <c r="E97" s="149" t="s">
        <v>209</v>
      </c>
      <c r="F97" s="131"/>
      <c r="G97" s="131" t="s">
        <v>787</v>
      </c>
      <c r="H97" s="131" t="s">
        <v>788</v>
      </c>
      <c r="I97" s="131" t="s">
        <v>421</v>
      </c>
      <c r="J97" s="213">
        <v>2</v>
      </c>
      <c r="K97" s="131" t="s">
        <v>480</v>
      </c>
      <c r="L97" s="131" t="s">
        <v>755</v>
      </c>
      <c r="M97" s="131" t="s">
        <v>412</v>
      </c>
      <c r="N97" s="131" t="s">
        <v>756</v>
      </c>
    </row>
    <row r="98" spans="1:14" ht="18.75" customHeight="1" x14ac:dyDescent="0.25">
      <c r="A98" s="130">
        <v>16</v>
      </c>
      <c r="B98" s="131" t="s">
        <v>223</v>
      </c>
      <c r="C98" s="131" t="s">
        <v>224</v>
      </c>
      <c r="D98" s="131" t="s">
        <v>216</v>
      </c>
      <c r="E98" s="149" t="s">
        <v>209</v>
      </c>
      <c r="F98" s="131"/>
      <c r="G98" s="131" t="s">
        <v>789</v>
      </c>
      <c r="H98" s="131" t="s">
        <v>790</v>
      </c>
      <c r="I98" s="131" t="s">
        <v>425</v>
      </c>
      <c r="J98" s="213">
        <v>2</v>
      </c>
      <c r="K98" s="131" t="s">
        <v>36</v>
      </c>
      <c r="L98" s="131" t="s">
        <v>791</v>
      </c>
      <c r="M98" s="131" t="s">
        <v>209</v>
      </c>
      <c r="N98" s="131" t="s">
        <v>752</v>
      </c>
    </row>
    <row r="99" spans="1:14" ht="18.75" customHeight="1" x14ac:dyDescent="0.25">
      <c r="A99" s="130">
        <v>17</v>
      </c>
      <c r="B99" s="131" t="s">
        <v>223</v>
      </c>
      <c r="C99" s="131" t="s">
        <v>224</v>
      </c>
      <c r="D99" s="131" t="s">
        <v>216</v>
      </c>
      <c r="E99" s="149" t="s">
        <v>209</v>
      </c>
      <c r="F99" s="131"/>
      <c r="G99" s="131" t="s">
        <v>792</v>
      </c>
      <c r="H99" s="131" t="s">
        <v>793</v>
      </c>
      <c r="I99" s="131" t="s">
        <v>429</v>
      </c>
      <c r="J99" s="213">
        <v>2</v>
      </c>
      <c r="K99" s="131" t="s">
        <v>480</v>
      </c>
      <c r="L99" s="131" t="s">
        <v>755</v>
      </c>
      <c r="M99" s="131" t="s">
        <v>412</v>
      </c>
      <c r="N99" s="131" t="s">
        <v>756</v>
      </c>
    </row>
    <row r="100" spans="1:14" ht="18.75" customHeight="1" x14ac:dyDescent="0.25">
      <c r="A100" s="130">
        <v>18</v>
      </c>
      <c r="B100" s="131" t="s">
        <v>223</v>
      </c>
      <c r="C100" s="131" t="s">
        <v>224</v>
      </c>
      <c r="D100" s="131" t="s">
        <v>216</v>
      </c>
      <c r="E100" s="149" t="s">
        <v>209</v>
      </c>
      <c r="F100" s="131"/>
      <c r="G100" s="131" t="s">
        <v>794</v>
      </c>
      <c r="H100" s="131" t="s">
        <v>795</v>
      </c>
      <c r="I100" s="131" t="s">
        <v>360</v>
      </c>
      <c r="J100" s="213">
        <v>2</v>
      </c>
      <c r="K100" s="131" t="s">
        <v>36</v>
      </c>
      <c r="L100" s="131" t="s">
        <v>796</v>
      </c>
      <c r="M100" s="131" t="s">
        <v>209</v>
      </c>
      <c r="N100" s="131" t="s">
        <v>752</v>
      </c>
    </row>
    <row r="101" spans="1:14" ht="18.75" customHeight="1" x14ac:dyDescent="0.25">
      <c r="A101" s="130">
        <v>19</v>
      </c>
      <c r="B101" s="131" t="s">
        <v>223</v>
      </c>
      <c r="C101" s="131" t="s">
        <v>224</v>
      </c>
      <c r="D101" s="131" t="s">
        <v>216</v>
      </c>
      <c r="E101" s="149" t="s">
        <v>209</v>
      </c>
      <c r="F101" s="131"/>
      <c r="G101" s="131" t="s">
        <v>797</v>
      </c>
      <c r="H101" s="131" t="s">
        <v>798</v>
      </c>
      <c r="I101" s="131" t="s">
        <v>436</v>
      </c>
      <c r="J101" s="213">
        <v>2</v>
      </c>
      <c r="K101" s="131" t="s">
        <v>480</v>
      </c>
      <c r="L101" s="131" t="s">
        <v>755</v>
      </c>
      <c r="M101" s="131" t="s">
        <v>412</v>
      </c>
      <c r="N101" s="131" t="s">
        <v>756</v>
      </c>
    </row>
    <row r="102" spans="1:14" ht="18.75" customHeight="1" x14ac:dyDescent="0.25">
      <c r="A102" s="130">
        <v>20</v>
      </c>
      <c r="B102" s="131" t="s">
        <v>223</v>
      </c>
      <c r="C102" s="131" t="s">
        <v>224</v>
      </c>
      <c r="D102" s="131" t="s">
        <v>216</v>
      </c>
      <c r="E102" s="149" t="s">
        <v>209</v>
      </c>
      <c r="F102" s="131"/>
      <c r="G102" s="131" t="s">
        <v>799</v>
      </c>
      <c r="H102" s="131" t="s">
        <v>800</v>
      </c>
      <c r="I102" s="131" t="s">
        <v>440</v>
      </c>
      <c r="J102" s="213">
        <v>2</v>
      </c>
      <c r="K102" s="131" t="s">
        <v>36</v>
      </c>
      <c r="L102" s="131" t="s">
        <v>801</v>
      </c>
      <c r="M102" s="131" t="s">
        <v>209</v>
      </c>
      <c r="N102" s="131" t="s">
        <v>752</v>
      </c>
    </row>
    <row r="103" spans="1:14" ht="18.75" customHeight="1" x14ac:dyDescent="0.25">
      <c r="A103" s="130">
        <v>21</v>
      </c>
      <c r="B103" s="131" t="s">
        <v>223</v>
      </c>
      <c r="C103" s="131" t="s">
        <v>224</v>
      </c>
      <c r="D103" s="131" t="s">
        <v>216</v>
      </c>
      <c r="E103" s="149" t="s">
        <v>209</v>
      </c>
      <c r="F103" s="131"/>
      <c r="G103" s="131" t="s">
        <v>802</v>
      </c>
      <c r="H103" s="131" t="s">
        <v>803</v>
      </c>
      <c r="I103" s="131" t="s">
        <v>381</v>
      </c>
      <c r="J103" s="213">
        <v>2</v>
      </c>
      <c r="K103" s="131" t="s">
        <v>480</v>
      </c>
      <c r="L103" s="131" t="s">
        <v>755</v>
      </c>
      <c r="M103" s="131" t="s">
        <v>412</v>
      </c>
      <c r="N103" s="131" t="s">
        <v>756</v>
      </c>
    </row>
    <row r="104" spans="1:14" ht="18.75" customHeight="1" x14ac:dyDescent="0.25">
      <c r="A104" s="130">
        <v>22</v>
      </c>
      <c r="B104" s="131" t="s">
        <v>223</v>
      </c>
      <c r="C104" s="131" t="s">
        <v>224</v>
      </c>
      <c r="D104" s="131" t="s">
        <v>216</v>
      </c>
      <c r="E104" s="149" t="s">
        <v>209</v>
      </c>
      <c r="F104" s="131"/>
      <c r="G104" s="131" t="s">
        <v>804</v>
      </c>
      <c r="H104" s="131" t="s">
        <v>805</v>
      </c>
      <c r="I104" s="131" t="s">
        <v>372</v>
      </c>
      <c r="J104" s="213">
        <v>2</v>
      </c>
      <c r="K104" s="131" t="s">
        <v>36</v>
      </c>
      <c r="L104" s="131" t="s">
        <v>806</v>
      </c>
      <c r="M104" s="131" t="s">
        <v>209</v>
      </c>
      <c r="N104" s="131" t="s">
        <v>752</v>
      </c>
    </row>
    <row r="105" spans="1:14" ht="18.75" customHeight="1" x14ac:dyDescent="0.25">
      <c r="A105" s="130">
        <v>23</v>
      </c>
      <c r="B105" s="131" t="s">
        <v>223</v>
      </c>
      <c r="C105" s="131" t="s">
        <v>224</v>
      </c>
      <c r="D105" s="131" t="s">
        <v>216</v>
      </c>
      <c r="E105" s="149" t="s">
        <v>209</v>
      </c>
      <c r="F105" s="131"/>
      <c r="G105" s="131" t="s">
        <v>807</v>
      </c>
      <c r="H105" s="131" t="s">
        <v>808</v>
      </c>
      <c r="I105" s="131" t="s">
        <v>451</v>
      </c>
      <c r="J105" s="213">
        <v>2</v>
      </c>
      <c r="K105" s="131" t="s">
        <v>36</v>
      </c>
      <c r="L105" s="131" t="s">
        <v>809</v>
      </c>
      <c r="M105" s="131" t="s">
        <v>209</v>
      </c>
      <c r="N105" s="131" t="s">
        <v>752</v>
      </c>
    </row>
    <row r="106" spans="1:14" ht="18.75" customHeight="1" x14ac:dyDescent="0.25">
      <c r="A106" s="130">
        <v>24</v>
      </c>
      <c r="B106" s="131" t="s">
        <v>223</v>
      </c>
      <c r="C106" s="131" t="s">
        <v>224</v>
      </c>
      <c r="D106" s="131" t="s">
        <v>216</v>
      </c>
      <c r="E106" s="149" t="s">
        <v>209</v>
      </c>
      <c r="F106" s="131"/>
      <c r="G106" s="131" t="s">
        <v>810</v>
      </c>
      <c r="H106" s="131" t="s">
        <v>811</v>
      </c>
      <c r="I106" s="131" t="s">
        <v>455</v>
      </c>
      <c r="J106" s="213">
        <v>2</v>
      </c>
      <c r="K106" s="131" t="s">
        <v>480</v>
      </c>
      <c r="L106" s="131" t="s">
        <v>755</v>
      </c>
      <c r="M106" s="131" t="s">
        <v>412</v>
      </c>
      <c r="N106" s="131" t="s">
        <v>756</v>
      </c>
    </row>
    <row r="107" spans="1:14" ht="18.75" customHeight="1" x14ac:dyDescent="0.25">
      <c r="A107" s="130">
        <v>25</v>
      </c>
      <c r="B107" s="131" t="s">
        <v>223</v>
      </c>
      <c r="C107" s="131" t="s">
        <v>224</v>
      </c>
      <c r="D107" s="131" t="s">
        <v>216</v>
      </c>
      <c r="E107" s="149" t="s">
        <v>209</v>
      </c>
      <c r="F107" s="131"/>
      <c r="G107" s="131" t="s">
        <v>812</v>
      </c>
      <c r="H107" s="131" t="s">
        <v>813</v>
      </c>
      <c r="I107" s="131" t="s">
        <v>459</v>
      </c>
      <c r="J107" s="213">
        <v>2</v>
      </c>
      <c r="K107" s="131" t="s">
        <v>36</v>
      </c>
      <c r="L107" s="131" t="s">
        <v>814</v>
      </c>
      <c r="M107" s="131" t="s">
        <v>209</v>
      </c>
      <c r="N107" s="131" t="s">
        <v>752</v>
      </c>
    </row>
    <row r="108" spans="1:14" ht="18.75" customHeight="1" x14ac:dyDescent="0.25">
      <c r="A108" s="130">
        <v>23</v>
      </c>
      <c r="B108" s="131" t="s">
        <v>223</v>
      </c>
      <c r="C108" s="131" t="s">
        <v>224</v>
      </c>
      <c r="D108" s="131" t="s">
        <v>216</v>
      </c>
      <c r="E108" s="149" t="s">
        <v>209</v>
      </c>
      <c r="F108" s="131"/>
      <c r="G108" s="131" t="s">
        <v>678</v>
      </c>
      <c r="H108" s="131" t="s">
        <v>450</v>
      </c>
      <c r="I108" s="131" t="s">
        <v>377</v>
      </c>
      <c r="J108" s="213">
        <v>8</v>
      </c>
      <c r="K108" s="131"/>
      <c r="L108" s="131"/>
      <c r="M108" s="131"/>
      <c r="N108" s="131"/>
    </row>
    <row r="109" spans="1:14" ht="18.75" customHeight="1" x14ac:dyDescent="0.25">
      <c r="A109" s="130">
        <v>1</v>
      </c>
      <c r="B109" s="131" t="s">
        <v>225</v>
      </c>
      <c r="C109" s="131" t="s">
        <v>226</v>
      </c>
      <c r="D109" s="131" t="s">
        <v>216</v>
      </c>
      <c r="E109" s="149" t="s">
        <v>104</v>
      </c>
      <c r="F109" s="131"/>
      <c r="G109" s="131" t="s">
        <v>749</v>
      </c>
      <c r="H109" s="131" t="s">
        <v>750</v>
      </c>
      <c r="I109" s="131" t="s">
        <v>360</v>
      </c>
      <c r="J109" s="213">
        <v>15</v>
      </c>
      <c r="K109" s="131" t="s">
        <v>36</v>
      </c>
      <c r="L109" s="131" t="s">
        <v>751</v>
      </c>
      <c r="M109" s="131" t="s">
        <v>104</v>
      </c>
      <c r="N109" s="131" t="s">
        <v>752</v>
      </c>
    </row>
    <row r="110" spans="1:14" ht="18.75" customHeight="1" x14ac:dyDescent="0.25">
      <c r="A110" s="130">
        <v>2</v>
      </c>
      <c r="B110" s="131" t="s">
        <v>225</v>
      </c>
      <c r="C110" s="131" t="s">
        <v>226</v>
      </c>
      <c r="D110" s="131" t="s">
        <v>216</v>
      </c>
      <c r="E110" s="149" t="s">
        <v>104</v>
      </c>
      <c r="F110" s="131"/>
      <c r="G110" s="131" t="s">
        <v>753</v>
      </c>
      <c r="H110" s="131" t="s">
        <v>754</v>
      </c>
      <c r="I110" s="131" t="s">
        <v>367</v>
      </c>
      <c r="J110" s="213">
        <v>15</v>
      </c>
      <c r="K110" s="131" t="s">
        <v>480</v>
      </c>
      <c r="L110" s="131" t="s">
        <v>755</v>
      </c>
      <c r="M110" s="131" t="s">
        <v>412</v>
      </c>
      <c r="N110" s="131" t="s">
        <v>756</v>
      </c>
    </row>
    <row r="111" spans="1:14" ht="3.75" customHeight="1" x14ac:dyDescent="0.25">
      <c r="A111" s="105">
        <v>3</v>
      </c>
      <c r="B111" s="105" t="s">
        <v>225</v>
      </c>
      <c r="C111" s="105" t="s">
        <v>226</v>
      </c>
      <c r="D111" s="105" t="s">
        <v>216</v>
      </c>
      <c r="E111" s="105" t="s">
        <v>104</v>
      </c>
      <c r="F111" s="105"/>
      <c r="G111" s="105" t="s">
        <v>757</v>
      </c>
      <c r="H111" s="105" t="s">
        <v>758</v>
      </c>
      <c r="I111" s="105" t="s">
        <v>372</v>
      </c>
      <c r="J111" s="201">
        <v>15</v>
      </c>
      <c r="K111" s="105" t="s">
        <v>480</v>
      </c>
      <c r="L111" s="105" t="s">
        <v>755</v>
      </c>
      <c r="M111" s="105" t="s">
        <v>412</v>
      </c>
      <c r="N111" s="105" t="s">
        <v>756</v>
      </c>
    </row>
    <row r="112" spans="1:14" ht="19.5" customHeight="1" x14ac:dyDescent="0.25">
      <c r="A112" s="281" t="s">
        <v>818</v>
      </c>
      <c r="B112" s="260"/>
      <c r="C112" s="260"/>
      <c r="D112" s="260"/>
      <c r="E112" s="260"/>
      <c r="F112" s="260"/>
      <c r="G112" s="260"/>
      <c r="H112" s="260"/>
      <c r="I112" s="260"/>
      <c r="J112" s="260"/>
      <c r="K112" s="260"/>
      <c r="L112" s="260"/>
      <c r="M112" s="260"/>
      <c r="N112" s="261"/>
    </row>
    <row r="113" spans="1:14" ht="18.75" customHeight="1" x14ac:dyDescent="0.25">
      <c r="A113" s="34">
        <v>5</v>
      </c>
      <c r="B113" s="35" t="s">
        <v>225</v>
      </c>
      <c r="C113" s="35" t="s">
        <v>226</v>
      </c>
      <c r="D113" s="35" t="s">
        <v>216</v>
      </c>
      <c r="E113" s="101" t="s">
        <v>104</v>
      </c>
      <c r="F113" s="35"/>
      <c r="G113" s="35" t="s">
        <v>762</v>
      </c>
      <c r="H113" s="35" t="s">
        <v>763</v>
      </c>
      <c r="I113" s="35" t="s">
        <v>381</v>
      </c>
      <c r="J113" s="198">
        <v>15</v>
      </c>
      <c r="K113" s="35" t="s">
        <v>480</v>
      </c>
      <c r="L113" s="35" t="s">
        <v>755</v>
      </c>
      <c r="M113" s="35" t="s">
        <v>412</v>
      </c>
      <c r="N113" s="35" t="s">
        <v>756</v>
      </c>
    </row>
    <row r="114" spans="1:14" ht="18.75" customHeight="1" x14ac:dyDescent="0.25">
      <c r="A114" s="127">
        <v>6</v>
      </c>
      <c r="B114" s="128" t="s">
        <v>225</v>
      </c>
      <c r="C114" s="128" t="s">
        <v>226</v>
      </c>
      <c r="D114" s="128" t="s">
        <v>216</v>
      </c>
      <c r="E114" s="129" t="s">
        <v>104</v>
      </c>
      <c r="F114" s="128"/>
      <c r="G114" s="128" t="s">
        <v>764</v>
      </c>
      <c r="H114" s="128" t="s">
        <v>765</v>
      </c>
      <c r="I114" s="128" t="s">
        <v>385</v>
      </c>
      <c r="J114" s="212">
        <v>15</v>
      </c>
      <c r="K114" s="128" t="s">
        <v>36</v>
      </c>
      <c r="L114" s="128" t="s">
        <v>766</v>
      </c>
      <c r="M114" s="128" t="s">
        <v>104</v>
      </c>
      <c r="N114" s="128" t="s">
        <v>752</v>
      </c>
    </row>
    <row r="115" spans="1:14" ht="18.75" customHeight="1" x14ac:dyDescent="0.25">
      <c r="A115" s="127">
        <v>7</v>
      </c>
      <c r="B115" s="128" t="s">
        <v>225</v>
      </c>
      <c r="C115" s="128" t="s">
        <v>226</v>
      </c>
      <c r="D115" s="128" t="s">
        <v>216</v>
      </c>
      <c r="E115" s="129" t="s">
        <v>104</v>
      </c>
      <c r="F115" s="128"/>
      <c r="G115" s="128" t="s">
        <v>767</v>
      </c>
      <c r="H115" s="128" t="s">
        <v>768</v>
      </c>
      <c r="I115" s="128" t="s">
        <v>389</v>
      </c>
      <c r="J115" s="212">
        <v>15</v>
      </c>
      <c r="K115" s="128" t="s">
        <v>480</v>
      </c>
      <c r="L115" s="128" t="s">
        <v>755</v>
      </c>
      <c r="M115" s="128" t="s">
        <v>412</v>
      </c>
      <c r="N115" s="128" t="s">
        <v>756</v>
      </c>
    </row>
    <row r="116" spans="1:14" ht="18.75" customHeight="1" x14ac:dyDescent="0.25">
      <c r="A116" s="127">
        <v>8</v>
      </c>
      <c r="B116" s="128" t="s">
        <v>225</v>
      </c>
      <c r="C116" s="128" t="s">
        <v>226</v>
      </c>
      <c r="D116" s="128" t="s">
        <v>216</v>
      </c>
      <c r="E116" s="129" t="s">
        <v>104</v>
      </c>
      <c r="F116" s="128"/>
      <c r="G116" s="128" t="s">
        <v>769</v>
      </c>
      <c r="H116" s="128" t="s">
        <v>770</v>
      </c>
      <c r="I116" s="128" t="s">
        <v>393</v>
      </c>
      <c r="J116" s="212">
        <v>15</v>
      </c>
      <c r="K116" s="128" t="s">
        <v>480</v>
      </c>
      <c r="L116" s="128" t="s">
        <v>755</v>
      </c>
      <c r="M116" s="128" t="s">
        <v>412</v>
      </c>
      <c r="N116" s="128" t="s">
        <v>756</v>
      </c>
    </row>
    <row r="117" spans="1:14" ht="18.75" customHeight="1" x14ac:dyDescent="0.25">
      <c r="A117" s="127">
        <v>9</v>
      </c>
      <c r="B117" s="128" t="s">
        <v>225</v>
      </c>
      <c r="C117" s="128" t="s">
        <v>226</v>
      </c>
      <c r="D117" s="128" t="s">
        <v>216</v>
      </c>
      <c r="E117" s="129" t="s">
        <v>104</v>
      </c>
      <c r="F117" s="128"/>
      <c r="G117" s="128" t="s">
        <v>771</v>
      </c>
      <c r="H117" s="128" t="s">
        <v>772</v>
      </c>
      <c r="I117" s="128" t="s">
        <v>360</v>
      </c>
      <c r="J117" s="212">
        <v>15</v>
      </c>
      <c r="K117" s="128" t="s">
        <v>36</v>
      </c>
      <c r="L117" s="128" t="s">
        <v>773</v>
      </c>
      <c r="M117" s="128" t="s">
        <v>104</v>
      </c>
      <c r="N117" s="128" t="s">
        <v>752</v>
      </c>
    </row>
    <row r="118" spans="1:14" ht="18.75" customHeight="1" x14ac:dyDescent="0.25">
      <c r="A118" s="127">
        <v>10</v>
      </c>
      <c r="B118" s="128" t="s">
        <v>225</v>
      </c>
      <c r="C118" s="128" t="s">
        <v>226</v>
      </c>
      <c r="D118" s="128" t="s">
        <v>216</v>
      </c>
      <c r="E118" s="129" t="s">
        <v>104</v>
      </c>
      <c r="F118" s="128"/>
      <c r="G118" s="128" t="s">
        <v>774</v>
      </c>
      <c r="H118" s="128" t="s">
        <v>775</v>
      </c>
      <c r="I118" s="128" t="s">
        <v>372</v>
      </c>
      <c r="J118" s="212">
        <v>15</v>
      </c>
      <c r="K118" s="128" t="s">
        <v>480</v>
      </c>
      <c r="L118" s="128" t="s">
        <v>755</v>
      </c>
      <c r="M118" s="128" t="s">
        <v>412</v>
      </c>
      <c r="N118" s="128" t="s">
        <v>756</v>
      </c>
    </row>
    <row r="119" spans="1:14" ht="18.75" customHeight="1" x14ac:dyDescent="0.25">
      <c r="A119" s="127">
        <v>11</v>
      </c>
      <c r="B119" s="128" t="s">
        <v>225</v>
      </c>
      <c r="C119" s="128" t="s">
        <v>226</v>
      </c>
      <c r="D119" s="128" t="s">
        <v>216</v>
      </c>
      <c r="E119" s="129" t="s">
        <v>104</v>
      </c>
      <c r="F119" s="128"/>
      <c r="G119" s="128" t="s">
        <v>776</v>
      </c>
      <c r="H119" s="128" t="s">
        <v>777</v>
      </c>
      <c r="I119" s="128" t="s">
        <v>404</v>
      </c>
      <c r="J119" s="212">
        <v>15</v>
      </c>
      <c r="K119" s="128" t="s">
        <v>36</v>
      </c>
      <c r="L119" s="128" t="s">
        <v>778</v>
      </c>
      <c r="M119" s="128" t="s">
        <v>104</v>
      </c>
      <c r="N119" s="128" t="s">
        <v>752</v>
      </c>
    </row>
    <row r="120" spans="1:14" ht="18.75" customHeight="1" x14ac:dyDescent="0.25">
      <c r="A120" s="127">
        <v>12</v>
      </c>
      <c r="B120" s="128" t="s">
        <v>225</v>
      </c>
      <c r="C120" s="128" t="s">
        <v>226</v>
      </c>
      <c r="D120" s="128" t="s">
        <v>216</v>
      </c>
      <c r="E120" s="129" t="s">
        <v>104</v>
      </c>
      <c r="F120" s="128"/>
      <c r="G120" s="128" t="s">
        <v>779</v>
      </c>
      <c r="H120" s="128" t="s">
        <v>780</v>
      </c>
      <c r="I120" s="128" t="s">
        <v>367</v>
      </c>
      <c r="J120" s="212">
        <v>15</v>
      </c>
      <c r="K120" s="128" t="s">
        <v>480</v>
      </c>
      <c r="L120" s="128" t="s">
        <v>755</v>
      </c>
      <c r="M120" s="128" t="s">
        <v>412</v>
      </c>
      <c r="N120" s="128" t="s">
        <v>756</v>
      </c>
    </row>
    <row r="121" spans="1:14" ht="18.75" customHeight="1" x14ac:dyDescent="0.25">
      <c r="A121" s="127">
        <v>13</v>
      </c>
      <c r="B121" s="128" t="s">
        <v>225</v>
      </c>
      <c r="C121" s="128" t="s">
        <v>226</v>
      </c>
      <c r="D121" s="128" t="s">
        <v>216</v>
      </c>
      <c r="E121" s="129" t="s">
        <v>104</v>
      </c>
      <c r="F121" s="128"/>
      <c r="G121" s="128" t="s">
        <v>781</v>
      </c>
      <c r="H121" s="128" t="s">
        <v>782</v>
      </c>
      <c r="I121" s="128" t="s">
        <v>360</v>
      </c>
      <c r="J121" s="212">
        <v>15</v>
      </c>
      <c r="K121" s="128" t="s">
        <v>36</v>
      </c>
      <c r="L121" s="128" t="s">
        <v>783</v>
      </c>
      <c r="M121" s="128" t="s">
        <v>104</v>
      </c>
      <c r="N121" s="128" t="s">
        <v>752</v>
      </c>
    </row>
    <row r="122" spans="1:14" ht="18.75" customHeight="1" x14ac:dyDescent="0.25">
      <c r="A122" s="127">
        <v>14</v>
      </c>
      <c r="B122" s="128" t="s">
        <v>225</v>
      </c>
      <c r="C122" s="128" t="s">
        <v>226</v>
      </c>
      <c r="D122" s="128" t="s">
        <v>216</v>
      </c>
      <c r="E122" s="129" t="s">
        <v>104</v>
      </c>
      <c r="F122" s="128"/>
      <c r="G122" s="128" t="s">
        <v>784</v>
      </c>
      <c r="H122" s="128" t="s">
        <v>785</v>
      </c>
      <c r="I122" s="128" t="s">
        <v>385</v>
      </c>
      <c r="J122" s="212">
        <v>15</v>
      </c>
      <c r="K122" s="128" t="s">
        <v>36</v>
      </c>
      <c r="L122" s="128" t="s">
        <v>786</v>
      </c>
      <c r="M122" s="128" t="s">
        <v>104</v>
      </c>
      <c r="N122" s="128" t="s">
        <v>752</v>
      </c>
    </row>
    <row r="123" spans="1:14" ht="18.75" customHeight="1" x14ac:dyDescent="0.25">
      <c r="A123" s="127">
        <v>15</v>
      </c>
      <c r="B123" s="128" t="s">
        <v>225</v>
      </c>
      <c r="C123" s="128" t="s">
        <v>226</v>
      </c>
      <c r="D123" s="128" t="s">
        <v>216</v>
      </c>
      <c r="E123" s="129" t="s">
        <v>104</v>
      </c>
      <c r="F123" s="128"/>
      <c r="G123" s="128" t="s">
        <v>787</v>
      </c>
      <c r="H123" s="128" t="s">
        <v>788</v>
      </c>
      <c r="I123" s="128" t="s">
        <v>421</v>
      </c>
      <c r="J123" s="212">
        <v>15</v>
      </c>
      <c r="K123" s="128" t="s">
        <v>480</v>
      </c>
      <c r="L123" s="128" t="s">
        <v>755</v>
      </c>
      <c r="M123" s="128" t="s">
        <v>412</v>
      </c>
      <c r="N123" s="128" t="s">
        <v>756</v>
      </c>
    </row>
    <row r="124" spans="1:14" ht="18.75" customHeight="1" x14ac:dyDescent="0.25">
      <c r="A124" s="127">
        <v>16</v>
      </c>
      <c r="B124" s="128" t="s">
        <v>225</v>
      </c>
      <c r="C124" s="128" t="s">
        <v>226</v>
      </c>
      <c r="D124" s="128" t="s">
        <v>216</v>
      </c>
      <c r="E124" s="129" t="s">
        <v>104</v>
      </c>
      <c r="F124" s="128"/>
      <c r="G124" s="128" t="s">
        <v>789</v>
      </c>
      <c r="H124" s="128" t="s">
        <v>790</v>
      </c>
      <c r="I124" s="128" t="s">
        <v>425</v>
      </c>
      <c r="J124" s="212">
        <v>15</v>
      </c>
      <c r="K124" s="128" t="s">
        <v>36</v>
      </c>
      <c r="L124" s="128" t="s">
        <v>791</v>
      </c>
      <c r="M124" s="128" t="s">
        <v>104</v>
      </c>
      <c r="N124" s="128" t="s">
        <v>752</v>
      </c>
    </row>
    <row r="125" spans="1:14" ht="18.75" customHeight="1" x14ac:dyDescent="0.25">
      <c r="A125" s="127">
        <v>17</v>
      </c>
      <c r="B125" s="128" t="s">
        <v>225</v>
      </c>
      <c r="C125" s="128" t="s">
        <v>226</v>
      </c>
      <c r="D125" s="128" t="s">
        <v>216</v>
      </c>
      <c r="E125" s="129" t="s">
        <v>104</v>
      </c>
      <c r="F125" s="128"/>
      <c r="G125" s="128" t="s">
        <v>792</v>
      </c>
      <c r="H125" s="128" t="s">
        <v>793</v>
      </c>
      <c r="I125" s="128" t="s">
        <v>429</v>
      </c>
      <c r="J125" s="212">
        <v>15</v>
      </c>
      <c r="K125" s="128" t="s">
        <v>480</v>
      </c>
      <c r="L125" s="128" t="s">
        <v>755</v>
      </c>
      <c r="M125" s="128" t="s">
        <v>412</v>
      </c>
      <c r="N125" s="128" t="s">
        <v>756</v>
      </c>
    </row>
    <row r="126" spans="1:14" ht="18.75" customHeight="1" x14ac:dyDescent="0.25">
      <c r="A126" s="127">
        <v>18</v>
      </c>
      <c r="B126" s="128" t="s">
        <v>225</v>
      </c>
      <c r="C126" s="128" t="s">
        <v>226</v>
      </c>
      <c r="D126" s="128" t="s">
        <v>216</v>
      </c>
      <c r="E126" s="129" t="s">
        <v>104</v>
      </c>
      <c r="F126" s="128"/>
      <c r="G126" s="128" t="s">
        <v>794</v>
      </c>
      <c r="H126" s="128" t="s">
        <v>795</v>
      </c>
      <c r="I126" s="128" t="s">
        <v>360</v>
      </c>
      <c r="J126" s="212">
        <v>15</v>
      </c>
      <c r="K126" s="128" t="s">
        <v>36</v>
      </c>
      <c r="L126" s="128" t="s">
        <v>796</v>
      </c>
      <c r="M126" s="128" t="s">
        <v>104</v>
      </c>
      <c r="N126" s="128" t="s">
        <v>752</v>
      </c>
    </row>
    <row r="127" spans="1:14" ht="18.75" customHeight="1" x14ac:dyDescent="0.25">
      <c r="A127" s="127">
        <v>19</v>
      </c>
      <c r="B127" s="128" t="s">
        <v>225</v>
      </c>
      <c r="C127" s="128" t="s">
        <v>226</v>
      </c>
      <c r="D127" s="128" t="s">
        <v>216</v>
      </c>
      <c r="E127" s="129" t="s">
        <v>104</v>
      </c>
      <c r="F127" s="128"/>
      <c r="G127" s="128" t="s">
        <v>797</v>
      </c>
      <c r="H127" s="128" t="s">
        <v>798</v>
      </c>
      <c r="I127" s="128" t="s">
        <v>436</v>
      </c>
      <c r="J127" s="212">
        <v>15</v>
      </c>
      <c r="K127" s="128" t="s">
        <v>480</v>
      </c>
      <c r="L127" s="128" t="s">
        <v>755</v>
      </c>
      <c r="M127" s="128" t="s">
        <v>412</v>
      </c>
      <c r="N127" s="128" t="s">
        <v>756</v>
      </c>
    </row>
    <row r="128" spans="1:14" ht="18.75" customHeight="1" x14ac:dyDescent="0.25">
      <c r="A128" s="127">
        <v>20</v>
      </c>
      <c r="B128" s="128" t="s">
        <v>225</v>
      </c>
      <c r="C128" s="128" t="s">
        <v>226</v>
      </c>
      <c r="D128" s="128" t="s">
        <v>216</v>
      </c>
      <c r="E128" s="129" t="s">
        <v>104</v>
      </c>
      <c r="F128" s="128"/>
      <c r="G128" s="128" t="s">
        <v>799</v>
      </c>
      <c r="H128" s="128" t="s">
        <v>800</v>
      </c>
      <c r="I128" s="128" t="s">
        <v>440</v>
      </c>
      <c r="J128" s="212">
        <v>15</v>
      </c>
      <c r="K128" s="128" t="s">
        <v>36</v>
      </c>
      <c r="L128" s="128" t="s">
        <v>801</v>
      </c>
      <c r="M128" s="128" t="s">
        <v>104</v>
      </c>
      <c r="N128" s="128" t="s">
        <v>752</v>
      </c>
    </row>
    <row r="129" spans="1:14" ht="18.75" customHeight="1" x14ac:dyDescent="0.25">
      <c r="A129" s="127">
        <v>21</v>
      </c>
      <c r="B129" s="128" t="s">
        <v>225</v>
      </c>
      <c r="C129" s="128" t="s">
        <v>226</v>
      </c>
      <c r="D129" s="128" t="s">
        <v>216</v>
      </c>
      <c r="E129" s="129" t="s">
        <v>104</v>
      </c>
      <c r="F129" s="128"/>
      <c r="G129" s="128" t="s">
        <v>802</v>
      </c>
      <c r="H129" s="128" t="s">
        <v>803</v>
      </c>
      <c r="I129" s="128" t="s">
        <v>381</v>
      </c>
      <c r="J129" s="212">
        <v>15</v>
      </c>
      <c r="K129" s="128" t="s">
        <v>480</v>
      </c>
      <c r="L129" s="128" t="s">
        <v>755</v>
      </c>
      <c r="M129" s="128" t="s">
        <v>412</v>
      </c>
      <c r="N129" s="128" t="s">
        <v>756</v>
      </c>
    </row>
    <row r="130" spans="1:14" ht="18.75" customHeight="1" x14ac:dyDescent="0.25">
      <c r="A130" s="127">
        <v>22</v>
      </c>
      <c r="B130" s="128" t="s">
        <v>225</v>
      </c>
      <c r="C130" s="128" t="s">
        <v>226</v>
      </c>
      <c r="D130" s="128" t="s">
        <v>216</v>
      </c>
      <c r="E130" s="129" t="s">
        <v>104</v>
      </c>
      <c r="F130" s="128"/>
      <c r="G130" s="128" t="s">
        <v>804</v>
      </c>
      <c r="H130" s="128" t="s">
        <v>805</v>
      </c>
      <c r="I130" s="128" t="s">
        <v>372</v>
      </c>
      <c r="J130" s="212">
        <v>15</v>
      </c>
      <c r="K130" s="128" t="s">
        <v>36</v>
      </c>
      <c r="L130" s="128" t="s">
        <v>806</v>
      </c>
      <c r="M130" s="128" t="s">
        <v>104</v>
      </c>
      <c r="N130" s="128" t="s">
        <v>752</v>
      </c>
    </row>
    <row r="131" spans="1:14" ht="18.75" customHeight="1" x14ac:dyDescent="0.25">
      <c r="A131" s="127">
        <v>23</v>
      </c>
      <c r="B131" s="128" t="s">
        <v>225</v>
      </c>
      <c r="C131" s="128" t="s">
        <v>226</v>
      </c>
      <c r="D131" s="128" t="s">
        <v>216</v>
      </c>
      <c r="E131" s="129" t="s">
        <v>104</v>
      </c>
      <c r="F131" s="128"/>
      <c r="G131" s="128" t="s">
        <v>807</v>
      </c>
      <c r="H131" s="128" t="s">
        <v>808</v>
      </c>
      <c r="I131" s="128" t="s">
        <v>451</v>
      </c>
      <c r="J131" s="212">
        <v>15</v>
      </c>
      <c r="K131" s="128" t="s">
        <v>36</v>
      </c>
      <c r="L131" s="128" t="s">
        <v>809</v>
      </c>
      <c r="M131" s="128" t="s">
        <v>104</v>
      </c>
      <c r="N131" s="128" t="s">
        <v>752</v>
      </c>
    </row>
    <row r="132" spans="1:14" ht="18.75" customHeight="1" x14ac:dyDescent="0.25">
      <c r="A132" s="127">
        <v>24</v>
      </c>
      <c r="B132" s="128" t="s">
        <v>225</v>
      </c>
      <c r="C132" s="128" t="s">
        <v>226</v>
      </c>
      <c r="D132" s="128" t="s">
        <v>216</v>
      </c>
      <c r="E132" s="129" t="s">
        <v>104</v>
      </c>
      <c r="F132" s="128"/>
      <c r="G132" s="128" t="s">
        <v>810</v>
      </c>
      <c r="H132" s="128" t="s">
        <v>811</v>
      </c>
      <c r="I132" s="128" t="s">
        <v>455</v>
      </c>
      <c r="J132" s="212">
        <v>15</v>
      </c>
      <c r="K132" s="128" t="s">
        <v>480</v>
      </c>
      <c r="L132" s="128" t="s">
        <v>755</v>
      </c>
      <c r="M132" s="128" t="s">
        <v>412</v>
      </c>
      <c r="N132" s="128" t="s">
        <v>756</v>
      </c>
    </row>
    <row r="133" spans="1:14" ht="18.75" customHeight="1" x14ac:dyDescent="0.25">
      <c r="A133" s="127">
        <v>25</v>
      </c>
      <c r="B133" s="128" t="s">
        <v>225</v>
      </c>
      <c r="C133" s="128" t="s">
        <v>226</v>
      </c>
      <c r="D133" s="128" t="s">
        <v>216</v>
      </c>
      <c r="E133" s="129" t="s">
        <v>104</v>
      </c>
      <c r="F133" s="128"/>
      <c r="G133" s="128" t="s">
        <v>812</v>
      </c>
      <c r="H133" s="128" t="s">
        <v>813</v>
      </c>
      <c r="I133" s="128" t="s">
        <v>459</v>
      </c>
      <c r="J133" s="212">
        <v>15</v>
      </c>
      <c r="K133" s="128" t="s">
        <v>36</v>
      </c>
      <c r="L133" s="128" t="s">
        <v>814</v>
      </c>
      <c r="M133" s="128" t="s">
        <v>104</v>
      </c>
      <c r="N133" s="128" t="s">
        <v>752</v>
      </c>
    </row>
    <row r="134" spans="1:14" ht="18.75" customHeight="1" x14ac:dyDescent="0.25">
      <c r="A134" s="127">
        <v>22</v>
      </c>
      <c r="B134" s="128" t="s">
        <v>225</v>
      </c>
      <c r="C134" s="128" t="s">
        <v>226</v>
      </c>
      <c r="D134" s="128" t="s">
        <v>216</v>
      </c>
      <c r="E134" s="129" t="s">
        <v>104</v>
      </c>
      <c r="F134" s="128"/>
      <c r="G134" s="128" t="s">
        <v>680</v>
      </c>
      <c r="H134" s="128" t="s">
        <v>446</v>
      </c>
      <c r="I134" s="128" t="s">
        <v>389</v>
      </c>
      <c r="J134" s="212">
        <v>27</v>
      </c>
      <c r="K134" s="128"/>
      <c r="L134" s="128"/>
      <c r="M134" s="128"/>
      <c r="N134" s="128"/>
    </row>
    <row r="135" spans="1:14" ht="18.75" customHeight="1" x14ac:dyDescent="0.25">
      <c r="A135" s="127">
        <v>1</v>
      </c>
      <c r="B135" s="128" t="s">
        <v>227</v>
      </c>
      <c r="C135" s="128" t="s">
        <v>228</v>
      </c>
      <c r="D135" s="128" t="s">
        <v>229</v>
      </c>
      <c r="E135" s="129" t="s">
        <v>121</v>
      </c>
      <c r="F135" s="128"/>
      <c r="G135" s="128" t="s">
        <v>749</v>
      </c>
      <c r="H135" s="128" t="s">
        <v>750</v>
      </c>
      <c r="I135" s="128" t="s">
        <v>360</v>
      </c>
      <c r="J135" s="212">
        <v>5</v>
      </c>
      <c r="K135" s="128" t="s">
        <v>36</v>
      </c>
      <c r="L135" s="128" t="s">
        <v>751</v>
      </c>
      <c r="M135" s="128" t="s">
        <v>121</v>
      </c>
      <c r="N135" s="128" t="s">
        <v>752</v>
      </c>
    </row>
    <row r="136" spans="1:14" ht="18.75" customHeight="1" x14ac:dyDescent="0.25">
      <c r="A136" s="127">
        <v>2</v>
      </c>
      <c r="B136" s="128" t="s">
        <v>227</v>
      </c>
      <c r="C136" s="128" t="s">
        <v>228</v>
      </c>
      <c r="D136" s="128" t="s">
        <v>229</v>
      </c>
      <c r="E136" s="129" t="s">
        <v>121</v>
      </c>
      <c r="F136" s="128"/>
      <c r="G136" s="128" t="s">
        <v>753</v>
      </c>
      <c r="H136" s="128" t="s">
        <v>754</v>
      </c>
      <c r="I136" s="128" t="s">
        <v>367</v>
      </c>
      <c r="J136" s="212">
        <v>5</v>
      </c>
      <c r="K136" s="128" t="s">
        <v>480</v>
      </c>
      <c r="L136" s="128" t="s">
        <v>755</v>
      </c>
      <c r="M136" s="128" t="s">
        <v>412</v>
      </c>
      <c r="N136" s="128" t="s">
        <v>756</v>
      </c>
    </row>
    <row r="137" spans="1:14" ht="18.75" customHeight="1" x14ac:dyDescent="0.25">
      <c r="A137" s="127">
        <v>3</v>
      </c>
      <c r="B137" s="128" t="s">
        <v>227</v>
      </c>
      <c r="C137" s="128" t="s">
        <v>228</v>
      </c>
      <c r="D137" s="128" t="s">
        <v>229</v>
      </c>
      <c r="E137" s="129" t="s">
        <v>121</v>
      </c>
      <c r="F137" s="128"/>
      <c r="G137" s="128" t="s">
        <v>757</v>
      </c>
      <c r="H137" s="128" t="s">
        <v>758</v>
      </c>
      <c r="I137" s="128" t="s">
        <v>372</v>
      </c>
      <c r="J137" s="212">
        <v>5</v>
      </c>
      <c r="K137" s="128" t="s">
        <v>480</v>
      </c>
      <c r="L137" s="128" t="s">
        <v>755</v>
      </c>
      <c r="M137" s="128" t="s">
        <v>412</v>
      </c>
      <c r="N137" s="128" t="s">
        <v>756</v>
      </c>
    </row>
    <row r="138" spans="1:14" ht="4.5" customHeight="1" x14ac:dyDescent="0.25">
      <c r="A138" s="105">
        <v>4</v>
      </c>
      <c r="B138" s="105" t="s">
        <v>227</v>
      </c>
      <c r="C138" s="105" t="s">
        <v>228</v>
      </c>
      <c r="D138" s="105" t="s">
        <v>229</v>
      </c>
      <c r="E138" s="105" t="s">
        <v>121</v>
      </c>
      <c r="F138" s="105"/>
      <c r="G138" s="105" t="s">
        <v>759</v>
      </c>
      <c r="H138" s="105" t="s">
        <v>760</v>
      </c>
      <c r="I138" s="105" t="s">
        <v>377</v>
      </c>
      <c r="J138" s="201">
        <v>5</v>
      </c>
      <c r="K138" s="105" t="s">
        <v>36</v>
      </c>
      <c r="L138" s="105" t="s">
        <v>761</v>
      </c>
      <c r="M138" s="105" t="s">
        <v>121</v>
      </c>
      <c r="N138" s="105" t="s">
        <v>752</v>
      </c>
    </row>
    <row r="139" spans="1:14" ht="19.5" customHeight="1" x14ac:dyDescent="0.25">
      <c r="A139" s="281" t="s">
        <v>819</v>
      </c>
      <c r="B139" s="260"/>
      <c r="C139" s="260"/>
      <c r="D139" s="260"/>
      <c r="E139" s="260"/>
      <c r="F139" s="260"/>
      <c r="G139" s="260"/>
      <c r="H139" s="260"/>
      <c r="I139" s="260"/>
      <c r="J139" s="260"/>
      <c r="K139" s="260"/>
      <c r="L139" s="260"/>
      <c r="M139" s="260"/>
      <c r="N139" s="261"/>
    </row>
    <row r="140" spans="1:14" ht="18.75" customHeight="1" x14ac:dyDescent="0.25">
      <c r="A140" s="34">
        <v>6</v>
      </c>
      <c r="B140" s="35" t="s">
        <v>227</v>
      </c>
      <c r="C140" s="35" t="s">
        <v>228</v>
      </c>
      <c r="D140" s="35" t="s">
        <v>229</v>
      </c>
      <c r="E140" s="109" t="s">
        <v>121</v>
      </c>
      <c r="F140" s="35"/>
      <c r="G140" s="35" t="s">
        <v>764</v>
      </c>
      <c r="H140" s="35" t="s">
        <v>765</v>
      </c>
      <c r="I140" s="35" t="s">
        <v>385</v>
      </c>
      <c r="J140" s="198">
        <v>5</v>
      </c>
      <c r="K140" s="35" t="s">
        <v>36</v>
      </c>
      <c r="L140" s="35" t="s">
        <v>766</v>
      </c>
      <c r="M140" s="35" t="s">
        <v>121</v>
      </c>
      <c r="N140" s="35" t="s">
        <v>752</v>
      </c>
    </row>
    <row r="141" spans="1:14" ht="18.75" customHeight="1" x14ac:dyDescent="0.25">
      <c r="A141" s="130">
        <v>7</v>
      </c>
      <c r="B141" s="131" t="s">
        <v>227</v>
      </c>
      <c r="C141" s="131" t="s">
        <v>228</v>
      </c>
      <c r="D141" s="131" t="s">
        <v>229</v>
      </c>
      <c r="E141" s="134" t="s">
        <v>121</v>
      </c>
      <c r="F141" s="131"/>
      <c r="G141" s="131" t="s">
        <v>767</v>
      </c>
      <c r="H141" s="131" t="s">
        <v>768</v>
      </c>
      <c r="I141" s="131" t="s">
        <v>389</v>
      </c>
      <c r="J141" s="213">
        <v>5</v>
      </c>
      <c r="K141" s="131" t="s">
        <v>480</v>
      </c>
      <c r="L141" s="131" t="s">
        <v>755</v>
      </c>
      <c r="M141" s="131" t="s">
        <v>412</v>
      </c>
      <c r="N141" s="131" t="s">
        <v>756</v>
      </c>
    </row>
    <row r="142" spans="1:14" ht="18.75" customHeight="1" x14ac:dyDescent="0.25">
      <c r="A142" s="130">
        <v>8</v>
      </c>
      <c r="B142" s="131" t="s">
        <v>227</v>
      </c>
      <c r="C142" s="131" t="s">
        <v>228</v>
      </c>
      <c r="D142" s="131" t="s">
        <v>229</v>
      </c>
      <c r="E142" s="134" t="s">
        <v>121</v>
      </c>
      <c r="F142" s="131"/>
      <c r="G142" s="131" t="s">
        <v>769</v>
      </c>
      <c r="H142" s="131" t="s">
        <v>770</v>
      </c>
      <c r="I142" s="131" t="s">
        <v>393</v>
      </c>
      <c r="J142" s="213">
        <v>5</v>
      </c>
      <c r="K142" s="131" t="s">
        <v>480</v>
      </c>
      <c r="L142" s="131" t="s">
        <v>755</v>
      </c>
      <c r="M142" s="131" t="s">
        <v>412</v>
      </c>
      <c r="N142" s="131" t="s">
        <v>756</v>
      </c>
    </row>
    <row r="143" spans="1:14" ht="18.75" customHeight="1" x14ac:dyDescent="0.25">
      <c r="A143" s="130">
        <v>9</v>
      </c>
      <c r="B143" s="131" t="s">
        <v>227</v>
      </c>
      <c r="C143" s="131" t="s">
        <v>228</v>
      </c>
      <c r="D143" s="131" t="s">
        <v>229</v>
      </c>
      <c r="E143" s="134" t="s">
        <v>121</v>
      </c>
      <c r="F143" s="131"/>
      <c r="G143" s="131" t="s">
        <v>771</v>
      </c>
      <c r="H143" s="131" t="s">
        <v>772</v>
      </c>
      <c r="I143" s="131" t="s">
        <v>360</v>
      </c>
      <c r="J143" s="213">
        <v>5</v>
      </c>
      <c r="K143" s="131" t="s">
        <v>36</v>
      </c>
      <c r="L143" s="131" t="s">
        <v>773</v>
      </c>
      <c r="M143" s="131" t="s">
        <v>121</v>
      </c>
      <c r="N143" s="131" t="s">
        <v>752</v>
      </c>
    </row>
    <row r="144" spans="1:14" ht="18.75" customHeight="1" x14ac:dyDescent="0.25">
      <c r="A144" s="130">
        <v>10</v>
      </c>
      <c r="B144" s="131" t="s">
        <v>227</v>
      </c>
      <c r="C144" s="131" t="s">
        <v>228</v>
      </c>
      <c r="D144" s="131" t="s">
        <v>229</v>
      </c>
      <c r="E144" s="134" t="s">
        <v>121</v>
      </c>
      <c r="F144" s="131"/>
      <c r="G144" s="131" t="s">
        <v>774</v>
      </c>
      <c r="H144" s="131" t="s">
        <v>775</v>
      </c>
      <c r="I144" s="131" t="s">
        <v>372</v>
      </c>
      <c r="J144" s="213">
        <v>5</v>
      </c>
      <c r="K144" s="131" t="s">
        <v>480</v>
      </c>
      <c r="L144" s="131" t="s">
        <v>755</v>
      </c>
      <c r="M144" s="131" t="s">
        <v>412</v>
      </c>
      <c r="N144" s="131" t="s">
        <v>756</v>
      </c>
    </row>
    <row r="145" spans="1:14" ht="18.75" customHeight="1" x14ac:dyDescent="0.25">
      <c r="A145" s="130">
        <v>11</v>
      </c>
      <c r="B145" s="131" t="s">
        <v>227</v>
      </c>
      <c r="C145" s="131" t="s">
        <v>228</v>
      </c>
      <c r="D145" s="131" t="s">
        <v>229</v>
      </c>
      <c r="E145" s="134" t="s">
        <v>121</v>
      </c>
      <c r="F145" s="131"/>
      <c r="G145" s="131" t="s">
        <v>776</v>
      </c>
      <c r="H145" s="131" t="s">
        <v>777</v>
      </c>
      <c r="I145" s="131" t="s">
        <v>404</v>
      </c>
      <c r="J145" s="213">
        <v>5</v>
      </c>
      <c r="K145" s="131" t="s">
        <v>36</v>
      </c>
      <c r="L145" s="131" t="s">
        <v>778</v>
      </c>
      <c r="M145" s="131" t="s">
        <v>121</v>
      </c>
      <c r="N145" s="131" t="s">
        <v>752</v>
      </c>
    </row>
    <row r="146" spans="1:14" ht="18.75" customHeight="1" x14ac:dyDescent="0.25">
      <c r="A146" s="130">
        <v>12</v>
      </c>
      <c r="B146" s="131" t="s">
        <v>227</v>
      </c>
      <c r="C146" s="131" t="s">
        <v>228</v>
      </c>
      <c r="D146" s="131" t="s">
        <v>229</v>
      </c>
      <c r="E146" s="134" t="s">
        <v>121</v>
      </c>
      <c r="F146" s="131"/>
      <c r="G146" s="131" t="s">
        <v>779</v>
      </c>
      <c r="H146" s="131" t="s">
        <v>780</v>
      </c>
      <c r="I146" s="131" t="s">
        <v>367</v>
      </c>
      <c r="J146" s="213">
        <v>5</v>
      </c>
      <c r="K146" s="131" t="s">
        <v>480</v>
      </c>
      <c r="L146" s="131" t="s">
        <v>755</v>
      </c>
      <c r="M146" s="131" t="s">
        <v>412</v>
      </c>
      <c r="N146" s="131" t="s">
        <v>756</v>
      </c>
    </row>
    <row r="147" spans="1:14" ht="18.75" customHeight="1" x14ac:dyDescent="0.25">
      <c r="A147" s="130">
        <v>13</v>
      </c>
      <c r="B147" s="131" t="s">
        <v>227</v>
      </c>
      <c r="C147" s="131" t="s">
        <v>228</v>
      </c>
      <c r="D147" s="131" t="s">
        <v>229</v>
      </c>
      <c r="E147" s="134" t="s">
        <v>121</v>
      </c>
      <c r="F147" s="131"/>
      <c r="G147" s="131" t="s">
        <v>781</v>
      </c>
      <c r="H147" s="131" t="s">
        <v>782</v>
      </c>
      <c r="I147" s="131" t="s">
        <v>360</v>
      </c>
      <c r="J147" s="213">
        <v>5</v>
      </c>
      <c r="K147" s="131" t="s">
        <v>36</v>
      </c>
      <c r="L147" s="131" t="s">
        <v>783</v>
      </c>
      <c r="M147" s="131" t="s">
        <v>121</v>
      </c>
      <c r="N147" s="131" t="s">
        <v>752</v>
      </c>
    </row>
    <row r="148" spans="1:14" ht="18.75" customHeight="1" x14ac:dyDescent="0.25">
      <c r="A148" s="130">
        <v>14</v>
      </c>
      <c r="B148" s="131" t="s">
        <v>227</v>
      </c>
      <c r="C148" s="131" t="s">
        <v>228</v>
      </c>
      <c r="D148" s="131" t="s">
        <v>229</v>
      </c>
      <c r="E148" s="134" t="s">
        <v>121</v>
      </c>
      <c r="F148" s="131"/>
      <c r="G148" s="131" t="s">
        <v>784</v>
      </c>
      <c r="H148" s="131" t="s">
        <v>785</v>
      </c>
      <c r="I148" s="131" t="s">
        <v>385</v>
      </c>
      <c r="J148" s="213">
        <v>5</v>
      </c>
      <c r="K148" s="131" t="s">
        <v>36</v>
      </c>
      <c r="L148" s="131" t="s">
        <v>786</v>
      </c>
      <c r="M148" s="131" t="s">
        <v>121</v>
      </c>
      <c r="N148" s="131" t="s">
        <v>752</v>
      </c>
    </row>
    <row r="149" spans="1:14" ht="18.75" customHeight="1" x14ac:dyDescent="0.25">
      <c r="A149" s="130">
        <v>15</v>
      </c>
      <c r="B149" s="131" t="s">
        <v>227</v>
      </c>
      <c r="C149" s="131" t="s">
        <v>228</v>
      </c>
      <c r="D149" s="131" t="s">
        <v>229</v>
      </c>
      <c r="E149" s="134" t="s">
        <v>121</v>
      </c>
      <c r="F149" s="131"/>
      <c r="G149" s="131" t="s">
        <v>787</v>
      </c>
      <c r="H149" s="131" t="s">
        <v>788</v>
      </c>
      <c r="I149" s="131" t="s">
        <v>421</v>
      </c>
      <c r="J149" s="213">
        <v>5</v>
      </c>
      <c r="K149" s="131" t="s">
        <v>480</v>
      </c>
      <c r="L149" s="131" t="s">
        <v>755</v>
      </c>
      <c r="M149" s="131" t="s">
        <v>412</v>
      </c>
      <c r="N149" s="131" t="s">
        <v>756</v>
      </c>
    </row>
    <row r="150" spans="1:14" ht="18.75" customHeight="1" x14ac:dyDescent="0.25">
      <c r="A150" s="130">
        <v>16</v>
      </c>
      <c r="B150" s="131" t="s">
        <v>227</v>
      </c>
      <c r="C150" s="131" t="s">
        <v>228</v>
      </c>
      <c r="D150" s="131" t="s">
        <v>229</v>
      </c>
      <c r="E150" s="134" t="s">
        <v>121</v>
      </c>
      <c r="F150" s="131"/>
      <c r="G150" s="131" t="s">
        <v>789</v>
      </c>
      <c r="H150" s="131" t="s">
        <v>790</v>
      </c>
      <c r="I150" s="131" t="s">
        <v>425</v>
      </c>
      <c r="J150" s="213">
        <v>5</v>
      </c>
      <c r="K150" s="131" t="s">
        <v>36</v>
      </c>
      <c r="L150" s="131" t="s">
        <v>791</v>
      </c>
      <c r="M150" s="131" t="s">
        <v>121</v>
      </c>
      <c r="N150" s="131" t="s">
        <v>752</v>
      </c>
    </row>
    <row r="151" spans="1:14" ht="18.75" customHeight="1" x14ac:dyDescent="0.25">
      <c r="A151" s="130">
        <v>17</v>
      </c>
      <c r="B151" s="131" t="s">
        <v>227</v>
      </c>
      <c r="C151" s="131" t="s">
        <v>228</v>
      </c>
      <c r="D151" s="131" t="s">
        <v>229</v>
      </c>
      <c r="E151" s="134" t="s">
        <v>121</v>
      </c>
      <c r="F151" s="131"/>
      <c r="G151" s="131" t="s">
        <v>792</v>
      </c>
      <c r="H151" s="131" t="s">
        <v>793</v>
      </c>
      <c r="I151" s="131" t="s">
        <v>429</v>
      </c>
      <c r="J151" s="213">
        <v>5</v>
      </c>
      <c r="K151" s="131" t="s">
        <v>480</v>
      </c>
      <c r="L151" s="131" t="s">
        <v>755</v>
      </c>
      <c r="M151" s="131" t="s">
        <v>412</v>
      </c>
      <c r="N151" s="131" t="s">
        <v>756</v>
      </c>
    </row>
    <row r="152" spans="1:14" ht="18.75" customHeight="1" x14ac:dyDescent="0.25">
      <c r="A152" s="130">
        <v>18</v>
      </c>
      <c r="B152" s="131" t="s">
        <v>227</v>
      </c>
      <c r="C152" s="131" t="s">
        <v>228</v>
      </c>
      <c r="D152" s="131" t="s">
        <v>229</v>
      </c>
      <c r="E152" s="134" t="s">
        <v>121</v>
      </c>
      <c r="F152" s="131"/>
      <c r="G152" s="131" t="s">
        <v>794</v>
      </c>
      <c r="H152" s="131" t="s">
        <v>795</v>
      </c>
      <c r="I152" s="131" t="s">
        <v>360</v>
      </c>
      <c r="J152" s="213">
        <v>5</v>
      </c>
      <c r="K152" s="131" t="s">
        <v>36</v>
      </c>
      <c r="L152" s="131" t="s">
        <v>796</v>
      </c>
      <c r="M152" s="131" t="s">
        <v>121</v>
      </c>
      <c r="N152" s="131" t="s">
        <v>752</v>
      </c>
    </row>
    <row r="153" spans="1:14" ht="18.75" customHeight="1" x14ac:dyDescent="0.25">
      <c r="A153" s="130">
        <v>19</v>
      </c>
      <c r="B153" s="131" t="s">
        <v>227</v>
      </c>
      <c r="C153" s="131" t="s">
        <v>228</v>
      </c>
      <c r="D153" s="131" t="s">
        <v>229</v>
      </c>
      <c r="E153" s="134" t="s">
        <v>121</v>
      </c>
      <c r="F153" s="131"/>
      <c r="G153" s="131" t="s">
        <v>797</v>
      </c>
      <c r="H153" s="131" t="s">
        <v>798</v>
      </c>
      <c r="I153" s="131" t="s">
        <v>436</v>
      </c>
      <c r="J153" s="213">
        <v>5</v>
      </c>
      <c r="K153" s="131" t="s">
        <v>480</v>
      </c>
      <c r="L153" s="131" t="s">
        <v>755</v>
      </c>
      <c r="M153" s="131" t="s">
        <v>412</v>
      </c>
      <c r="N153" s="131" t="s">
        <v>756</v>
      </c>
    </row>
    <row r="154" spans="1:14" ht="18.75" customHeight="1" x14ac:dyDescent="0.25">
      <c r="A154" s="130">
        <v>20</v>
      </c>
      <c r="B154" s="131" t="s">
        <v>227</v>
      </c>
      <c r="C154" s="131" t="s">
        <v>228</v>
      </c>
      <c r="D154" s="131" t="s">
        <v>229</v>
      </c>
      <c r="E154" s="134" t="s">
        <v>121</v>
      </c>
      <c r="F154" s="131"/>
      <c r="G154" s="131" t="s">
        <v>799</v>
      </c>
      <c r="H154" s="131" t="s">
        <v>800</v>
      </c>
      <c r="I154" s="131" t="s">
        <v>440</v>
      </c>
      <c r="J154" s="213">
        <v>5</v>
      </c>
      <c r="K154" s="131" t="s">
        <v>36</v>
      </c>
      <c r="L154" s="131" t="s">
        <v>801</v>
      </c>
      <c r="M154" s="131" t="s">
        <v>121</v>
      </c>
      <c r="N154" s="131" t="s">
        <v>752</v>
      </c>
    </row>
    <row r="155" spans="1:14" ht="18.75" customHeight="1" x14ac:dyDescent="0.25">
      <c r="A155" s="130">
        <v>21</v>
      </c>
      <c r="B155" s="131" t="s">
        <v>227</v>
      </c>
      <c r="C155" s="131" t="s">
        <v>228</v>
      </c>
      <c r="D155" s="131" t="s">
        <v>229</v>
      </c>
      <c r="E155" s="134" t="s">
        <v>121</v>
      </c>
      <c r="F155" s="131"/>
      <c r="G155" s="131" t="s">
        <v>802</v>
      </c>
      <c r="H155" s="131" t="s">
        <v>803</v>
      </c>
      <c r="I155" s="131" t="s">
        <v>381</v>
      </c>
      <c r="J155" s="213">
        <v>5</v>
      </c>
      <c r="K155" s="131" t="s">
        <v>480</v>
      </c>
      <c r="L155" s="131" t="s">
        <v>755</v>
      </c>
      <c r="M155" s="131" t="s">
        <v>412</v>
      </c>
      <c r="N155" s="131" t="s">
        <v>756</v>
      </c>
    </row>
    <row r="156" spans="1:14" ht="18.75" customHeight="1" x14ac:dyDescent="0.25">
      <c r="A156" s="130">
        <v>22</v>
      </c>
      <c r="B156" s="131" t="s">
        <v>227</v>
      </c>
      <c r="C156" s="131" t="s">
        <v>228</v>
      </c>
      <c r="D156" s="131" t="s">
        <v>229</v>
      </c>
      <c r="E156" s="134" t="s">
        <v>121</v>
      </c>
      <c r="F156" s="131"/>
      <c r="G156" s="131" t="s">
        <v>804</v>
      </c>
      <c r="H156" s="131" t="s">
        <v>805</v>
      </c>
      <c r="I156" s="131" t="s">
        <v>372</v>
      </c>
      <c r="J156" s="213">
        <v>5</v>
      </c>
      <c r="K156" s="131" t="s">
        <v>36</v>
      </c>
      <c r="L156" s="131" t="s">
        <v>806</v>
      </c>
      <c r="M156" s="131" t="s">
        <v>121</v>
      </c>
      <c r="N156" s="131" t="s">
        <v>752</v>
      </c>
    </row>
    <row r="157" spans="1:14" ht="18.75" customHeight="1" x14ac:dyDescent="0.25">
      <c r="A157" s="130">
        <v>23</v>
      </c>
      <c r="B157" s="131" t="s">
        <v>227</v>
      </c>
      <c r="C157" s="131" t="s">
        <v>228</v>
      </c>
      <c r="D157" s="131" t="s">
        <v>229</v>
      </c>
      <c r="E157" s="134" t="s">
        <v>121</v>
      </c>
      <c r="F157" s="131"/>
      <c r="G157" s="131" t="s">
        <v>807</v>
      </c>
      <c r="H157" s="131" t="s">
        <v>808</v>
      </c>
      <c r="I157" s="131" t="s">
        <v>451</v>
      </c>
      <c r="J157" s="213">
        <v>5</v>
      </c>
      <c r="K157" s="131" t="s">
        <v>36</v>
      </c>
      <c r="L157" s="131" t="s">
        <v>809</v>
      </c>
      <c r="M157" s="131" t="s">
        <v>121</v>
      </c>
      <c r="N157" s="131" t="s">
        <v>752</v>
      </c>
    </row>
    <row r="158" spans="1:14" ht="18.75" customHeight="1" x14ac:dyDescent="0.25">
      <c r="A158" s="130">
        <v>24</v>
      </c>
      <c r="B158" s="131" t="s">
        <v>227</v>
      </c>
      <c r="C158" s="131" t="s">
        <v>228</v>
      </c>
      <c r="D158" s="131" t="s">
        <v>229</v>
      </c>
      <c r="E158" s="134" t="s">
        <v>121</v>
      </c>
      <c r="F158" s="131"/>
      <c r="G158" s="131" t="s">
        <v>810</v>
      </c>
      <c r="H158" s="131" t="s">
        <v>811</v>
      </c>
      <c r="I158" s="131" t="s">
        <v>455</v>
      </c>
      <c r="J158" s="213">
        <v>5</v>
      </c>
      <c r="K158" s="131" t="s">
        <v>480</v>
      </c>
      <c r="L158" s="131" t="s">
        <v>755</v>
      </c>
      <c r="M158" s="131" t="s">
        <v>412</v>
      </c>
      <c r="N158" s="131" t="s">
        <v>756</v>
      </c>
    </row>
    <row r="159" spans="1:14" ht="18.75" customHeight="1" x14ac:dyDescent="0.25">
      <c r="A159" s="130">
        <v>25</v>
      </c>
      <c r="B159" s="131" t="s">
        <v>227</v>
      </c>
      <c r="C159" s="131" t="s">
        <v>228</v>
      </c>
      <c r="D159" s="131" t="s">
        <v>229</v>
      </c>
      <c r="E159" s="134" t="s">
        <v>121</v>
      </c>
      <c r="F159" s="131"/>
      <c r="G159" s="131" t="s">
        <v>812</v>
      </c>
      <c r="H159" s="131" t="s">
        <v>813</v>
      </c>
      <c r="I159" s="131" t="s">
        <v>459</v>
      </c>
      <c r="J159" s="213">
        <v>5</v>
      </c>
      <c r="K159" s="131" t="s">
        <v>36</v>
      </c>
      <c r="L159" s="131" t="s">
        <v>814</v>
      </c>
      <c r="M159" s="131" t="s">
        <v>121</v>
      </c>
      <c r="N159" s="131" t="s">
        <v>752</v>
      </c>
    </row>
    <row r="160" spans="1:14" ht="18.75" customHeight="1" x14ac:dyDescent="0.25">
      <c r="A160" s="130">
        <v>21</v>
      </c>
      <c r="B160" s="131" t="s">
        <v>227</v>
      </c>
      <c r="C160" s="131" t="s">
        <v>228</v>
      </c>
      <c r="D160" s="131" t="s">
        <v>229</v>
      </c>
      <c r="E160" s="134" t="s">
        <v>121</v>
      </c>
      <c r="F160" s="131"/>
      <c r="G160" s="131" t="s">
        <v>682</v>
      </c>
      <c r="H160" s="131" t="s">
        <v>443</v>
      </c>
      <c r="I160" s="131" t="s">
        <v>389</v>
      </c>
      <c r="J160" s="213">
        <v>11</v>
      </c>
      <c r="K160" s="131"/>
      <c r="L160" s="131"/>
      <c r="M160" s="131"/>
      <c r="N160" s="131"/>
    </row>
    <row r="161" spans="1:14" ht="18.75" customHeight="1" x14ac:dyDescent="0.25">
      <c r="A161" s="130">
        <v>1</v>
      </c>
      <c r="B161" s="131" t="s">
        <v>230</v>
      </c>
      <c r="C161" s="131" t="s">
        <v>231</v>
      </c>
      <c r="D161" s="131" t="s">
        <v>216</v>
      </c>
      <c r="E161" s="134" t="s">
        <v>121</v>
      </c>
      <c r="F161" s="131"/>
      <c r="G161" s="131" t="s">
        <v>749</v>
      </c>
      <c r="H161" s="131" t="s">
        <v>750</v>
      </c>
      <c r="I161" s="131" t="s">
        <v>360</v>
      </c>
      <c r="J161" s="213">
        <v>5</v>
      </c>
      <c r="K161" s="131" t="s">
        <v>36</v>
      </c>
      <c r="L161" s="131" t="s">
        <v>751</v>
      </c>
      <c r="M161" s="131" t="s">
        <v>121</v>
      </c>
      <c r="N161" s="131" t="s">
        <v>752</v>
      </c>
    </row>
    <row r="162" spans="1:14" ht="18.75" customHeight="1" x14ac:dyDescent="0.25">
      <c r="A162" s="130">
        <v>2</v>
      </c>
      <c r="B162" s="131" t="s">
        <v>230</v>
      </c>
      <c r="C162" s="131" t="s">
        <v>231</v>
      </c>
      <c r="D162" s="131" t="s">
        <v>216</v>
      </c>
      <c r="E162" s="134" t="s">
        <v>121</v>
      </c>
      <c r="F162" s="131"/>
      <c r="G162" s="131" t="s">
        <v>753</v>
      </c>
      <c r="H162" s="131" t="s">
        <v>754</v>
      </c>
      <c r="I162" s="131" t="s">
        <v>367</v>
      </c>
      <c r="J162" s="213">
        <v>5</v>
      </c>
      <c r="K162" s="131" t="s">
        <v>480</v>
      </c>
      <c r="L162" s="131" t="s">
        <v>755</v>
      </c>
      <c r="M162" s="131" t="s">
        <v>412</v>
      </c>
      <c r="N162" s="131" t="s">
        <v>756</v>
      </c>
    </row>
    <row r="163" spans="1:14" ht="18.75" customHeight="1" x14ac:dyDescent="0.25">
      <c r="A163" s="130">
        <v>3</v>
      </c>
      <c r="B163" s="131" t="s">
        <v>230</v>
      </c>
      <c r="C163" s="131" t="s">
        <v>231</v>
      </c>
      <c r="D163" s="131" t="s">
        <v>216</v>
      </c>
      <c r="E163" s="134" t="s">
        <v>121</v>
      </c>
      <c r="F163" s="131"/>
      <c r="G163" s="131" t="s">
        <v>757</v>
      </c>
      <c r="H163" s="131" t="s">
        <v>758</v>
      </c>
      <c r="I163" s="131" t="s">
        <v>372</v>
      </c>
      <c r="J163" s="213">
        <v>5</v>
      </c>
      <c r="K163" s="131" t="s">
        <v>480</v>
      </c>
      <c r="L163" s="131" t="s">
        <v>755</v>
      </c>
      <c r="M163" s="131" t="s">
        <v>412</v>
      </c>
      <c r="N163" s="131" t="s">
        <v>756</v>
      </c>
    </row>
    <row r="164" spans="1:14" ht="18.75" customHeight="1" x14ac:dyDescent="0.25">
      <c r="A164" s="130">
        <v>4</v>
      </c>
      <c r="B164" s="131" t="s">
        <v>230</v>
      </c>
      <c r="C164" s="131" t="s">
        <v>231</v>
      </c>
      <c r="D164" s="131" t="s">
        <v>216</v>
      </c>
      <c r="E164" s="134" t="s">
        <v>121</v>
      </c>
      <c r="F164" s="131"/>
      <c r="G164" s="131" t="s">
        <v>759</v>
      </c>
      <c r="H164" s="131" t="s">
        <v>760</v>
      </c>
      <c r="I164" s="131" t="s">
        <v>377</v>
      </c>
      <c r="J164" s="213">
        <v>5</v>
      </c>
      <c r="K164" s="131" t="s">
        <v>36</v>
      </c>
      <c r="L164" s="131" t="s">
        <v>761</v>
      </c>
      <c r="M164" s="131" t="s">
        <v>121</v>
      </c>
      <c r="N164" s="131" t="s">
        <v>752</v>
      </c>
    </row>
    <row r="165" spans="1:14" ht="4.5" customHeight="1" x14ac:dyDescent="0.25">
      <c r="A165" s="105">
        <v>5</v>
      </c>
      <c r="B165" s="105" t="s">
        <v>230</v>
      </c>
      <c r="C165" s="105" t="s">
        <v>231</v>
      </c>
      <c r="D165" s="105" t="s">
        <v>216</v>
      </c>
      <c r="E165" s="105" t="s">
        <v>121</v>
      </c>
      <c r="F165" s="105"/>
      <c r="G165" s="105" t="s">
        <v>762</v>
      </c>
      <c r="H165" s="105" t="s">
        <v>763</v>
      </c>
      <c r="I165" s="105" t="s">
        <v>381</v>
      </c>
      <c r="J165" s="201">
        <v>5</v>
      </c>
      <c r="K165" s="105" t="s">
        <v>480</v>
      </c>
      <c r="L165" s="105" t="s">
        <v>755</v>
      </c>
      <c r="M165" s="105" t="s">
        <v>412</v>
      </c>
      <c r="N165" s="105" t="s">
        <v>756</v>
      </c>
    </row>
    <row r="166" spans="1:14" ht="19.5" customHeight="1" x14ac:dyDescent="0.25">
      <c r="A166" s="281" t="s">
        <v>820</v>
      </c>
      <c r="B166" s="260"/>
      <c r="C166" s="260"/>
      <c r="D166" s="260"/>
      <c r="E166" s="260"/>
      <c r="F166" s="260"/>
      <c r="G166" s="260"/>
      <c r="H166" s="260"/>
      <c r="I166" s="260"/>
      <c r="J166" s="260"/>
      <c r="K166" s="260"/>
      <c r="L166" s="260"/>
      <c r="M166" s="260"/>
      <c r="N166" s="261"/>
    </row>
    <row r="167" spans="1:14" ht="18.75" customHeight="1" x14ac:dyDescent="0.25">
      <c r="A167" s="34">
        <v>7</v>
      </c>
      <c r="B167" s="35" t="s">
        <v>230</v>
      </c>
      <c r="C167" s="35" t="s">
        <v>231</v>
      </c>
      <c r="D167" s="35" t="s">
        <v>216</v>
      </c>
      <c r="E167" s="109" t="s">
        <v>121</v>
      </c>
      <c r="F167" s="35"/>
      <c r="G167" s="35" t="s">
        <v>767</v>
      </c>
      <c r="H167" s="35" t="s">
        <v>768</v>
      </c>
      <c r="I167" s="35" t="s">
        <v>389</v>
      </c>
      <c r="J167" s="198">
        <v>5</v>
      </c>
      <c r="K167" s="35" t="s">
        <v>480</v>
      </c>
      <c r="L167" s="35" t="s">
        <v>755</v>
      </c>
      <c r="M167" s="35" t="s">
        <v>412</v>
      </c>
      <c r="N167" s="35" t="s">
        <v>756</v>
      </c>
    </row>
    <row r="168" spans="1:14" ht="18.75" customHeight="1" x14ac:dyDescent="0.25">
      <c r="A168" s="127">
        <v>8</v>
      </c>
      <c r="B168" s="128" t="s">
        <v>230</v>
      </c>
      <c r="C168" s="128" t="s">
        <v>231</v>
      </c>
      <c r="D168" s="128" t="s">
        <v>216</v>
      </c>
      <c r="E168" s="133" t="s">
        <v>121</v>
      </c>
      <c r="F168" s="128"/>
      <c r="G168" s="128" t="s">
        <v>769</v>
      </c>
      <c r="H168" s="128" t="s">
        <v>770</v>
      </c>
      <c r="I168" s="128" t="s">
        <v>393</v>
      </c>
      <c r="J168" s="212">
        <v>5</v>
      </c>
      <c r="K168" s="128" t="s">
        <v>480</v>
      </c>
      <c r="L168" s="128" t="s">
        <v>755</v>
      </c>
      <c r="M168" s="128" t="s">
        <v>412</v>
      </c>
      <c r="N168" s="128" t="s">
        <v>756</v>
      </c>
    </row>
    <row r="169" spans="1:14" ht="18.75" customHeight="1" x14ac:dyDescent="0.25">
      <c r="A169" s="127">
        <v>9</v>
      </c>
      <c r="B169" s="128" t="s">
        <v>230</v>
      </c>
      <c r="C169" s="128" t="s">
        <v>231</v>
      </c>
      <c r="D169" s="128" t="s">
        <v>216</v>
      </c>
      <c r="E169" s="133" t="s">
        <v>121</v>
      </c>
      <c r="F169" s="128"/>
      <c r="G169" s="128" t="s">
        <v>771</v>
      </c>
      <c r="H169" s="128" t="s">
        <v>772</v>
      </c>
      <c r="I169" s="128" t="s">
        <v>360</v>
      </c>
      <c r="J169" s="212">
        <v>5</v>
      </c>
      <c r="K169" s="128" t="s">
        <v>36</v>
      </c>
      <c r="L169" s="128" t="s">
        <v>773</v>
      </c>
      <c r="M169" s="128" t="s">
        <v>121</v>
      </c>
      <c r="N169" s="128" t="s">
        <v>752</v>
      </c>
    </row>
    <row r="170" spans="1:14" ht="18.75" customHeight="1" x14ac:dyDescent="0.25">
      <c r="A170" s="127">
        <v>10</v>
      </c>
      <c r="B170" s="128" t="s">
        <v>230</v>
      </c>
      <c r="C170" s="128" t="s">
        <v>231</v>
      </c>
      <c r="D170" s="128" t="s">
        <v>216</v>
      </c>
      <c r="E170" s="133" t="s">
        <v>121</v>
      </c>
      <c r="F170" s="128"/>
      <c r="G170" s="128" t="s">
        <v>774</v>
      </c>
      <c r="H170" s="128" t="s">
        <v>775</v>
      </c>
      <c r="I170" s="128" t="s">
        <v>372</v>
      </c>
      <c r="J170" s="212">
        <v>5</v>
      </c>
      <c r="K170" s="128" t="s">
        <v>480</v>
      </c>
      <c r="L170" s="128" t="s">
        <v>755</v>
      </c>
      <c r="M170" s="128" t="s">
        <v>412</v>
      </c>
      <c r="N170" s="128" t="s">
        <v>756</v>
      </c>
    </row>
    <row r="171" spans="1:14" ht="18.75" customHeight="1" x14ac:dyDescent="0.25">
      <c r="A171" s="127">
        <v>11</v>
      </c>
      <c r="B171" s="128" t="s">
        <v>230</v>
      </c>
      <c r="C171" s="128" t="s">
        <v>231</v>
      </c>
      <c r="D171" s="128" t="s">
        <v>216</v>
      </c>
      <c r="E171" s="133" t="s">
        <v>121</v>
      </c>
      <c r="F171" s="128"/>
      <c r="G171" s="128" t="s">
        <v>776</v>
      </c>
      <c r="H171" s="128" t="s">
        <v>777</v>
      </c>
      <c r="I171" s="128" t="s">
        <v>404</v>
      </c>
      <c r="J171" s="212">
        <v>5</v>
      </c>
      <c r="K171" s="128" t="s">
        <v>36</v>
      </c>
      <c r="L171" s="128" t="s">
        <v>778</v>
      </c>
      <c r="M171" s="128" t="s">
        <v>121</v>
      </c>
      <c r="N171" s="128" t="s">
        <v>752</v>
      </c>
    </row>
    <row r="172" spans="1:14" ht="18.75" customHeight="1" x14ac:dyDescent="0.25">
      <c r="A172" s="127">
        <v>12</v>
      </c>
      <c r="B172" s="128" t="s">
        <v>230</v>
      </c>
      <c r="C172" s="128" t="s">
        <v>231</v>
      </c>
      <c r="D172" s="128" t="s">
        <v>216</v>
      </c>
      <c r="E172" s="133" t="s">
        <v>121</v>
      </c>
      <c r="F172" s="128"/>
      <c r="G172" s="128" t="s">
        <v>779</v>
      </c>
      <c r="H172" s="128" t="s">
        <v>780</v>
      </c>
      <c r="I172" s="128" t="s">
        <v>367</v>
      </c>
      <c r="J172" s="212">
        <v>5</v>
      </c>
      <c r="K172" s="128" t="s">
        <v>480</v>
      </c>
      <c r="L172" s="128" t="s">
        <v>755</v>
      </c>
      <c r="M172" s="128" t="s">
        <v>412</v>
      </c>
      <c r="N172" s="128" t="s">
        <v>756</v>
      </c>
    </row>
    <row r="173" spans="1:14" ht="18.75" customHeight="1" x14ac:dyDescent="0.25">
      <c r="A173" s="127">
        <v>13</v>
      </c>
      <c r="B173" s="128" t="s">
        <v>230</v>
      </c>
      <c r="C173" s="128" t="s">
        <v>231</v>
      </c>
      <c r="D173" s="128" t="s">
        <v>216</v>
      </c>
      <c r="E173" s="133" t="s">
        <v>121</v>
      </c>
      <c r="F173" s="128"/>
      <c r="G173" s="128" t="s">
        <v>781</v>
      </c>
      <c r="H173" s="128" t="s">
        <v>782</v>
      </c>
      <c r="I173" s="128" t="s">
        <v>360</v>
      </c>
      <c r="J173" s="212">
        <v>5</v>
      </c>
      <c r="K173" s="128" t="s">
        <v>36</v>
      </c>
      <c r="L173" s="128" t="s">
        <v>783</v>
      </c>
      <c r="M173" s="128" t="s">
        <v>121</v>
      </c>
      <c r="N173" s="128" t="s">
        <v>752</v>
      </c>
    </row>
    <row r="174" spans="1:14" ht="18.75" customHeight="1" x14ac:dyDescent="0.25">
      <c r="A174" s="127">
        <v>14</v>
      </c>
      <c r="B174" s="128" t="s">
        <v>230</v>
      </c>
      <c r="C174" s="128" t="s">
        <v>231</v>
      </c>
      <c r="D174" s="128" t="s">
        <v>216</v>
      </c>
      <c r="E174" s="133" t="s">
        <v>121</v>
      </c>
      <c r="F174" s="128"/>
      <c r="G174" s="128" t="s">
        <v>784</v>
      </c>
      <c r="H174" s="128" t="s">
        <v>785</v>
      </c>
      <c r="I174" s="128" t="s">
        <v>385</v>
      </c>
      <c r="J174" s="212">
        <v>5</v>
      </c>
      <c r="K174" s="128" t="s">
        <v>36</v>
      </c>
      <c r="L174" s="128" t="s">
        <v>786</v>
      </c>
      <c r="M174" s="128" t="s">
        <v>121</v>
      </c>
      <c r="N174" s="128" t="s">
        <v>752</v>
      </c>
    </row>
    <row r="175" spans="1:14" ht="18.75" customHeight="1" x14ac:dyDescent="0.25">
      <c r="A175" s="127">
        <v>15</v>
      </c>
      <c r="B175" s="128" t="s">
        <v>230</v>
      </c>
      <c r="C175" s="128" t="s">
        <v>231</v>
      </c>
      <c r="D175" s="128" t="s">
        <v>216</v>
      </c>
      <c r="E175" s="133" t="s">
        <v>121</v>
      </c>
      <c r="F175" s="128"/>
      <c r="G175" s="128" t="s">
        <v>787</v>
      </c>
      <c r="H175" s="128" t="s">
        <v>788</v>
      </c>
      <c r="I175" s="128" t="s">
        <v>421</v>
      </c>
      <c r="J175" s="212">
        <v>5</v>
      </c>
      <c r="K175" s="128" t="s">
        <v>480</v>
      </c>
      <c r="L175" s="128" t="s">
        <v>755</v>
      </c>
      <c r="M175" s="128" t="s">
        <v>412</v>
      </c>
      <c r="N175" s="128" t="s">
        <v>756</v>
      </c>
    </row>
    <row r="176" spans="1:14" ht="18.75" customHeight="1" x14ac:dyDescent="0.25">
      <c r="A176" s="127">
        <v>16</v>
      </c>
      <c r="B176" s="128" t="s">
        <v>230</v>
      </c>
      <c r="C176" s="128" t="s">
        <v>231</v>
      </c>
      <c r="D176" s="128" t="s">
        <v>216</v>
      </c>
      <c r="E176" s="133" t="s">
        <v>121</v>
      </c>
      <c r="F176" s="128"/>
      <c r="G176" s="128" t="s">
        <v>789</v>
      </c>
      <c r="H176" s="128" t="s">
        <v>790</v>
      </c>
      <c r="I176" s="128" t="s">
        <v>425</v>
      </c>
      <c r="J176" s="212">
        <v>5</v>
      </c>
      <c r="K176" s="128" t="s">
        <v>36</v>
      </c>
      <c r="L176" s="128" t="s">
        <v>791</v>
      </c>
      <c r="M176" s="128" t="s">
        <v>121</v>
      </c>
      <c r="N176" s="128" t="s">
        <v>752</v>
      </c>
    </row>
    <row r="177" spans="1:14" ht="18.75" customHeight="1" x14ac:dyDescent="0.25">
      <c r="A177" s="127">
        <v>17</v>
      </c>
      <c r="B177" s="128" t="s">
        <v>230</v>
      </c>
      <c r="C177" s="128" t="s">
        <v>231</v>
      </c>
      <c r="D177" s="128" t="s">
        <v>216</v>
      </c>
      <c r="E177" s="133" t="s">
        <v>121</v>
      </c>
      <c r="F177" s="128"/>
      <c r="G177" s="128" t="s">
        <v>792</v>
      </c>
      <c r="H177" s="128" t="s">
        <v>793</v>
      </c>
      <c r="I177" s="128" t="s">
        <v>429</v>
      </c>
      <c r="J177" s="212">
        <v>5</v>
      </c>
      <c r="K177" s="128" t="s">
        <v>480</v>
      </c>
      <c r="L177" s="128" t="s">
        <v>755</v>
      </c>
      <c r="M177" s="128" t="s">
        <v>412</v>
      </c>
      <c r="N177" s="128" t="s">
        <v>756</v>
      </c>
    </row>
    <row r="178" spans="1:14" ht="18.75" customHeight="1" x14ac:dyDescent="0.25">
      <c r="A178" s="127">
        <v>18</v>
      </c>
      <c r="B178" s="128" t="s">
        <v>230</v>
      </c>
      <c r="C178" s="128" t="s">
        <v>231</v>
      </c>
      <c r="D178" s="128" t="s">
        <v>216</v>
      </c>
      <c r="E178" s="133" t="s">
        <v>121</v>
      </c>
      <c r="F178" s="128"/>
      <c r="G178" s="128" t="s">
        <v>794</v>
      </c>
      <c r="H178" s="128" t="s">
        <v>795</v>
      </c>
      <c r="I178" s="128" t="s">
        <v>360</v>
      </c>
      <c r="J178" s="212">
        <v>5</v>
      </c>
      <c r="K178" s="128" t="s">
        <v>36</v>
      </c>
      <c r="L178" s="128" t="s">
        <v>796</v>
      </c>
      <c r="M178" s="128" t="s">
        <v>121</v>
      </c>
      <c r="N178" s="128" t="s">
        <v>752</v>
      </c>
    </row>
    <row r="179" spans="1:14" ht="18.75" customHeight="1" x14ac:dyDescent="0.25">
      <c r="A179" s="127">
        <v>19</v>
      </c>
      <c r="B179" s="128" t="s">
        <v>230</v>
      </c>
      <c r="C179" s="128" t="s">
        <v>231</v>
      </c>
      <c r="D179" s="128" t="s">
        <v>216</v>
      </c>
      <c r="E179" s="133" t="s">
        <v>121</v>
      </c>
      <c r="F179" s="128"/>
      <c r="G179" s="128" t="s">
        <v>797</v>
      </c>
      <c r="H179" s="128" t="s">
        <v>798</v>
      </c>
      <c r="I179" s="128" t="s">
        <v>436</v>
      </c>
      <c r="J179" s="212">
        <v>5</v>
      </c>
      <c r="K179" s="128" t="s">
        <v>480</v>
      </c>
      <c r="L179" s="128" t="s">
        <v>755</v>
      </c>
      <c r="M179" s="128" t="s">
        <v>412</v>
      </c>
      <c r="N179" s="128" t="s">
        <v>756</v>
      </c>
    </row>
    <row r="180" spans="1:14" ht="18.75" customHeight="1" x14ac:dyDescent="0.25">
      <c r="A180" s="127">
        <v>20</v>
      </c>
      <c r="B180" s="128" t="s">
        <v>230</v>
      </c>
      <c r="C180" s="128" t="s">
        <v>231</v>
      </c>
      <c r="D180" s="128" t="s">
        <v>216</v>
      </c>
      <c r="E180" s="133" t="s">
        <v>121</v>
      </c>
      <c r="F180" s="128"/>
      <c r="G180" s="128" t="s">
        <v>799</v>
      </c>
      <c r="H180" s="128" t="s">
        <v>800</v>
      </c>
      <c r="I180" s="128" t="s">
        <v>440</v>
      </c>
      <c r="J180" s="212">
        <v>5</v>
      </c>
      <c r="K180" s="128" t="s">
        <v>36</v>
      </c>
      <c r="L180" s="128" t="s">
        <v>801</v>
      </c>
      <c r="M180" s="128" t="s">
        <v>121</v>
      </c>
      <c r="N180" s="128" t="s">
        <v>752</v>
      </c>
    </row>
    <row r="181" spans="1:14" ht="18.75" customHeight="1" x14ac:dyDescent="0.25">
      <c r="A181" s="127">
        <v>21</v>
      </c>
      <c r="B181" s="128" t="s">
        <v>230</v>
      </c>
      <c r="C181" s="128" t="s">
        <v>231</v>
      </c>
      <c r="D181" s="128" t="s">
        <v>216</v>
      </c>
      <c r="E181" s="133" t="s">
        <v>121</v>
      </c>
      <c r="F181" s="128"/>
      <c r="G181" s="128" t="s">
        <v>802</v>
      </c>
      <c r="H181" s="128" t="s">
        <v>803</v>
      </c>
      <c r="I181" s="128" t="s">
        <v>381</v>
      </c>
      <c r="J181" s="212">
        <v>5</v>
      </c>
      <c r="K181" s="128" t="s">
        <v>480</v>
      </c>
      <c r="L181" s="128" t="s">
        <v>755</v>
      </c>
      <c r="M181" s="128" t="s">
        <v>412</v>
      </c>
      <c r="N181" s="128" t="s">
        <v>756</v>
      </c>
    </row>
    <row r="182" spans="1:14" ht="18.75" customHeight="1" x14ac:dyDescent="0.25">
      <c r="A182" s="127">
        <v>22</v>
      </c>
      <c r="B182" s="128" t="s">
        <v>230</v>
      </c>
      <c r="C182" s="128" t="s">
        <v>231</v>
      </c>
      <c r="D182" s="128" t="s">
        <v>216</v>
      </c>
      <c r="E182" s="133" t="s">
        <v>121</v>
      </c>
      <c r="F182" s="128"/>
      <c r="G182" s="128" t="s">
        <v>804</v>
      </c>
      <c r="H182" s="128" t="s">
        <v>805</v>
      </c>
      <c r="I182" s="128" t="s">
        <v>372</v>
      </c>
      <c r="J182" s="212">
        <v>5</v>
      </c>
      <c r="K182" s="128" t="s">
        <v>36</v>
      </c>
      <c r="L182" s="128" t="s">
        <v>806</v>
      </c>
      <c r="M182" s="128" t="s">
        <v>121</v>
      </c>
      <c r="N182" s="128" t="s">
        <v>752</v>
      </c>
    </row>
    <row r="183" spans="1:14" ht="18.75" customHeight="1" x14ac:dyDescent="0.25">
      <c r="A183" s="127">
        <v>23</v>
      </c>
      <c r="B183" s="128" t="s">
        <v>230</v>
      </c>
      <c r="C183" s="128" t="s">
        <v>231</v>
      </c>
      <c r="D183" s="128" t="s">
        <v>216</v>
      </c>
      <c r="E183" s="133" t="s">
        <v>121</v>
      </c>
      <c r="F183" s="128"/>
      <c r="G183" s="128" t="s">
        <v>807</v>
      </c>
      <c r="H183" s="128" t="s">
        <v>808</v>
      </c>
      <c r="I183" s="128" t="s">
        <v>451</v>
      </c>
      <c r="J183" s="212">
        <v>5</v>
      </c>
      <c r="K183" s="128" t="s">
        <v>36</v>
      </c>
      <c r="L183" s="128" t="s">
        <v>809</v>
      </c>
      <c r="M183" s="128" t="s">
        <v>121</v>
      </c>
      <c r="N183" s="128" t="s">
        <v>752</v>
      </c>
    </row>
    <row r="184" spans="1:14" ht="18.75" customHeight="1" x14ac:dyDescent="0.25">
      <c r="A184" s="127">
        <v>24</v>
      </c>
      <c r="B184" s="128" t="s">
        <v>230</v>
      </c>
      <c r="C184" s="128" t="s">
        <v>231</v>
      </c>
      <c r="D184" s="128" t="s">
        <v>216</v>
      </c>
      <c r="E184" s="133" t="s">
        <v>121</v>
      </c>
      <c r="F184" s="128"/>
      <c r="G184" s="128" t="s">
        <v>810</v>
      </c>
      <c r="H184" s="128" t="s">
        <v>811</v>
      </c>
      <c r="I184" s="128" t="s">
        <v>455</v>
      </c>
      <c r="J184" s="212">
        <v>5</v>
      </c>
      <c r="K184" s="128" t="s">
        <v>480</v>
      </c>
      <c r="L184" s="128" t="s">
        <v>755</v>
      </c>
      <c r="M184" s="128" t="s">
        <v>412</v>
      </c>
      <c r="N184" s="128" t="s">
        <v>756</v>
      </c>
    </row>
    <row r="185" spans="1:14" ht="18.75" customHeight="1" x14ac:dyDescent="0.25">
      <c r="A185" s="127">
        <v>25</v>
      </c>
      <c r="B185" s="128" t="s">
        <v>230</v>
      </c>
      <c r="C185" s="128" t="s">
        <v>231</v>
      </c>
      <c r="D185" s="128" t="s">
        <v>216</v>
      </c>
      <c r="E185" s="133" t="s">
        <v>121</v>
      </c>
      <c r="F185" s="128"/>
      <c r="G185" s="128" t="s">
        <v>812</v>
      </c>
      <c r="H185" s="128" t="s">
        <v>813</v>
      </c>
      <c r="I185" s="128" t="s">
        <v>459</v>
      </c>
      <c r="J185" s="212">
        <v>5</v>
      </c>
      <c r="K185" s="128" t="s">
        <v>36</v>
      </c>
      <c r="L185" s="128" t="s">
        <v>814</v>
      </c>
      <c r="M185" s="128" t="s">
        <v>121</v>
      </c>
      <c r="N185" s="128" t="s">
        <v>752</v>
      </c>
    </row>
    <row r="186" spans="1:14" ht="4.5" customHeight="1" x14ac:dyDescent="0.25">
      <c r="A186" s="105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</row>
    <row r="188" spans="1:14" ht="21.95" customHeight="1" x14ac:dyDescent="0.25">
      <c r="A188" s="280" t="s">
        <v>821</v>
      </c>
      <c r="B188" s="237"/>
      <c r="C188" s="237"/>
      <c r="D188" s="237"/>
      <c r="E188" s="237"/>
      <c r="F188" s="237"/>
      <c r="G188" s="237"/>
      <c r="H188" s="237"/>
      <c r="I188" s="237"/>
      <c r="J188" s="237"/>
      <c r="K188" s="237"/>
      <c r="L188" s="237"/>
      <c r="M188" s="237"/>
      <c r="N188" s="237"/>
    </row>
    <row r="189" spans="1:14" ht="35.1" customHeight="1" x14ac:dyDescent="0.25">
      <c r="A189" s="221" t="s">
        <v>17</v>
      </c>
      <c r="B189" s="221" t="s">
        <v>18</v>
      </c>
      <c r="C189" s="221" t="s">
        <v>692</v>
      </c>
      <c r="D189" s="221" t="s">
        <v>693</v>
      </c>
      <c r="E189" s="221" t="s">
        <v>694</v>
      </c>
      <c r="F189" s="221" t="s">
        <v>695</v>
      </c>
      <c r="G189" s="221" t="s">
        <v>623</v>
      </c>
      <c r="H189" s="221" t="s">
        <v>696</v>
      </c>
      <c r="I189" s="221" t="s">
        <v>697</v>
      </c>
      <c r="J189" s="221" t="s">
        <v>698</v>
      </c>
      <c r="K189" s="221" t="s">
        <v>699</v>
      </c>
      <c r="L189" s="221" t="s">
        <v>700</v>
      </c>
    </row>
    <row r="190" spans="1:14" ht="30" customHeight="1" x14ac:dyDescent="0.25">
      <c r="A190" s="222">
        <v>1</v>
      </c>
      <c r="B190" s="223" t="s">
        <v>213</v>
      </c>
      <c r="C190" s="223" t="s">
        <v>215</v>
      </c>
      <c r="D190" s="222">
        <v>25</v>
      </c>
      <c r="E190" s="222">
        <f>COUNTIF(K5:K190,"PASS")</f>
        <v>88</v>
      </c>
      <c r="F190" s="222">
        <f>COUNTIF(K5:K190,"FAIL")</f>
        <v>81</v>
      </c>
      <c r="G190" s="222">
        <f>COUNTIF(K5:K190,"PARTIAL")</f>
        <v>0</v>
      </c>
      <c r="H190" s="222">
        <f t="shared" ref="H190:H196" si="0">IF(D190&gt;0,ROUND(E190/D190*100,1),0)</f>
        <v>352</v>
      </c>
      <c r="I190" s="223" t="s">
        <v>749</v>
      </c>
      <c r="J190" s="223" t="s">
        <v>753</v>
      </c>
      <c r="K190" s="222" t="s">
        <v>209</v>
      </c>
      <c r="L190" s="223" t="s">
        <v>702</v>
      </c>
    </row>
    <row r="191" spans="1:14" ht="30" customHeight="1" x14ac:dyDescent="0.25">
      <c r="A191" s="202">
        <v>2</v>
      </c>
      <c r="B191" s="203" t="s">
        <v>218</v>
      </c>
      <c r="C191" s="203" t="s">
        <v>219</v>
      </c>
      <c r="D191" s="202">
        <v>25</v>
      </c>
      <c r="E191" s="202">
        <f>COUNTIF(K32:K191,"PASS")</f>
        <v>75</v>
      </c>
      <c r="F191" s="202">
        <f>COUNTIF(K32:K191,"FAIL")</f>
        <v>69</v>
      </c>
      <c r="G191" s="202">
        <f>COUNTIF(K32:K191,"PARTIAL")</f>
        <v>0</v>
      </c>
      <c r="H191" s="202">
        <f t="shared" si="0"/>
        <v>300</v>
      </c>
      <c r="I191" s="203" t="s">
        <v>759</v>
      </c>
      <c r="J191" s="203" t="s">
        <v>753</v>
      </c>
      <c r="K191" s="202" t="s">
        <v>209</v>
      </c>
      <c r="L191" s="203" t="s">
        <v>702</v>
      </c>
    </row>
    <row r="192" spans="1:14" ht="30" customHeight="1" x14ac:dyDescent="0.25">
      <c r="A192" s="222">
        <v>3</v>
      </c>
      <c r="B192" s="223" t="s">
        <v>221</v>
      </c>
      <c r="C192" s="223" t="s">
        <v>222</v>
      </c>
      <c r="D192" s="222">
        <v>25</v>
      </c>
      <c r="E192" s="222">
        <f>COUNTIF(K57:K192,"PASS")</f>
        <v>63</v>
      </c>
      <c r="F192" s="222">
        <f>COUNTIF(K57:K192,"FAIL")</f>
        <v>57</v>
      </c>
      <c r="G192" s="222">
        <f>COUNTIF(K57:K192,"PARTIAL")</f>
        <v>0</v>
      </c>
      <c r="H192" s="222">
        <f t="shared" si="0"/>
        <v>252</v>
      </c>
      <c r="I192" s="223" t="s">
        <v>749</v>
      </c>
      <c r="J192" s="223" t="s">
        <v>757</v>
      </c>
      <c r="K192" s="222" t="s">
        <v>121</v>
      </c>
      <c r="L192" s="223" t="s">
        <v>702</v>
      </c>
    </row>
    <row r="193" spans="1:12" ht="30" customHeight="1" x14ac:dyDescent="0.25">
      <c r="A193" s="202">
        <v>4</v>
      </c>
      <c r="B193" s="203" t="s">
        <v>223</v>
      </c>
      <c r="C193" s="203" t="s">
        <v>224</v>
      </c>
      <c r="D193" s="202">
        <v>25</v>
      </c>
      <c r="E193" s="202">
        <f>COUNTIF(K83:K193,"PASS")</f>
        <v>50</v>
      </c>
      <c r="F193" s="202">
        <f>COUNTIF(K83:K193,"FAIL")</f>
        <v>46</v>
      </c>
      <c r="G193" s="202">
        <f>COUNTIF(K83:K193,"PARTIAL")</f>
        <v>0</v>
      </c>
      <c r="H193" s="202">
        <f t="shared" si="0"/>
        <v>200</v>
      </c>
      <c r="I193" s="203" t="s">
        <v>749</v>
      </c>
      <c r="J193" s="203" t="s">
        <v>753</v>
      </c>
      <c r="K193" s="202" t="s">
        <v>209</v>
      </c>
      <c r="L193" s="203" t="s">
        <v>702</v>
      </c>
    </row>
    <row r="194" spans="1:12" ht="30" customHeight="1" x14ac:dyDescent="0.25">
      <c r="A194" s="222">
        <v>5</v>
      </c>
      <c r="B194" s="223" t="s">
        <v>225</v>
      </c>
      <c r="C194" s="223" t="s">
        <v>226</v>
      </c>
      <c r="D194" s="222">
        <v>25</v>
      </c>
      <c r="E194" s="222">
        <f>COUNTIF(K109:K194,"PASS")</f>
        <v>37</v>
      </c>
      <c r="F194" s="222">
        <f>COUNTIF(K109:K194,"FAIL")</f>
        <v>35</v>
      </c>
      <c r="G194" s="222">
        <f>COUNTIF(K109:K194,"PARTIAL")</f>
        <v>0</v>
      </c>
      <c r="H194" s="222">
        <f t="shared" si="0"/>
        <v>148</v>
      </c>
      <c r="I194" s="223" t="s">
        <v>749</v>
      </c>
      <c r="J194" s="223" t="s">
        <v>753</v>
      </c>
      <c r="K194" s="222" t="s">
        <v>121</v>
      </c>
      <c r="L194" s="223" t="s">
        <v>702</v>
      </c>
    </row>
    <row r="195" spans="1:12" ht="30" customHeight="1" x14ac:dyDescent="0.25">
      <c r="A195" s="202">
        <v>6</v>
      </c>
      <c r="B195" s="203" t="s">
        <v>227</v>
      </c>
      <c r="C195" s="203" t="s">
        <v>228</v>
      </c>
      <c r="D195" s="202">
        <v>25</v>
      </c>
      <c r="E195" s="202">
        <f>COUNTIF(K135:K195,"PASS")</f>
        <v>25</v>
      </c>
      <c r="F195" s="202">
        <f>COUNTIF(K135:K195,"FAIL")</f>
        <v>23</v>
      </c>
      <c r="G195" s="202">
        <f>COUNTIF(K135:K195,"PARTIAL")</f>
        <v>0</v>
      </c>
      <c r="H195" s="202">
        <f t="shared" si="0"/>
        <v>100</v>
      </c>
      <c r="I195" s="203" t="s">
        <v>749</v>
      </c>
      <c r="J195" s="203" t="s">
        <v>753</v>
      </c>
      <c r="K195" s="202" t="s">
        <v>209</v>
      </c>
      <c r="L195" s="203" t="s">
        <v>702</v>
      </c>
    </row>
    <row r="196" spans="1:12" ht="30" customHeight="1" x14ac:dyDescent="0.25">
      <c r="A196" s="222">
        <v>7</v>
      </c>
      <c r="B196" s="223" t="s">
        <v>230</v>
      </c>
      <c r="C196" s="223" t="s">
        <v>231</v>
      </c>
      <c r="D196" s="222">
        <v>25</v>
      </c>
      <c r="E196" s="222">
        <f>COUNTIF(K161:K196,"PASS")</f>
        <v>12</v>
      </c>
      <c r="F196" s="222">
        <f>COUNTIF(K161:K196,"FAIL")</f>
        <v>12</v>
      </c>
      <c r="G196" s="222">
        <f>COUNTIF(K161:K196,"PARTIAL")</f>
        <v>0</v>
      </c>
      <c r="H196" s="222">
        <f t="shared" si="0"/>
        <v>48</v>
      </c>
      <c r="I196" s="223" t="s">
        <v>749</v>
      </c>
      <c r="J196" s="223" t="s">
        <v>753</v>
      </c>
      <c r="K196" s="222" t="s">
        <v>209</v>
      </c>
      <c r="L196" s="223" t="s">
        <v>746</v>
      </c>
    </row>
    <row r="197" spans="1:12" ht="45" x14ac:dyDescent="0.25">
      <c r="H197" s="292" t="s">
        <v>894</v>
      </c>
    </row>
  </sheetData>
  <mergeCells count="10">
    <mergeCell ref="A188:N188"/>
    <mergeCell ref="A58:N58"/>
    <mergeCell ref="A1:N1"/>
    <mergeCell ref="A31:N31"/>
    <mergeCell ref="A4:N4"/>
    <mergeCell ref="A139:N139"/>
    <mergeCell ref="A2:N2"/>
    <mergeCell ref="A166:N166"/>
    <mergeCell ref="A112:N112"/>
    <mergeCell ref="A85:N85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N230"/>
  <sheetViews>
    <sheetView zoomScaleNormal="100" workbookViewId="0">
      <pane xSplit="1" ySplit="3" topLeftCell="B53" activePane="bottomRight" state="frozen"/>
      <selection pane="topRight" activeCell="B1" sqref="B1"/>
      <selection pane="bottomLeft" activeCell="A4" sqref="A4"/>
      <selection pane="bottomRight" activeCell="H65" sqref="H65"/>
    </sheetView>
  </sheetViews>
  <sheetFormatPr defaultColWidth="8.7109375" defaultRowHeight="15" x14ac:dyDescent="0.25"/>
  <cols>
    <col min="1" max="1" width="4" customWidth="1"/>
    <col min="2" max="2" width="28" customWidth="1"/>
    <col min="3" max="3" width="24" customWidth="1"/>
    <col min="4" max="4" width="18" customWidth="1"/>
    <col min="5" max="5" width="10" customWidth="1"/>
    <col min="6" max="6" width="11" customWidth="1"/>
    <col min="7" max="7" width="22" customWidth="1"/>
    <col min="8" max="8" width="20" customWidth="1"/>
    <col min="9" max="10" width="22" customWidth="1"/>
    <col min="11" max="11" width="14" customWidth="1"/>
    <col min="12" max="12" width="32" customWidth="1"/>
    <col min="13" max="13" width="14" customWidth="1"/>
    <col min="14" max="14" width="28" customWidth="1"/>
  </cols>
  <sheetData>
    <row r="1" spans="1:14" ht="38.1" customHeight="1" x14ac:dyDescent="0.25">
      <c r="A1" s="284" t="s">
        <v>822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</row>
    <row r="2" spans="1:14" ht="15.95" customHeight="1" x14ac:dyDescent="0.25">
      <c r="A2" s="285" t="s">
        <v>648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</row>
    <row r="3" spans="1:14" ht="33.950000000000003" customHeight="1" x14ac:dyDescent="0.25">
      <c r="A3" s="227" t="s">
        <v>17</v>
      </c>
      <c r="B3" s="227" t="s">
        <v>18</v>
      </c>
      <c r="C3" s="227" t="s">
        <v>97</v>
      </c>
      <c r="D3" s="227" t="s">
        <v>649</v>
      </c>
      <c r="E3" s="227" t="s">
        <v>98</v>
      </c>
      <c r="F3" s="227" t="s">
        <v>650</v>
      </c>
      <c r="G3" s="227" t="s">
        <v>464</v>
      </c>
      <c r="H3" s="227" t="s">
        <v>465</v>
      </c>
      <c r="I3" s="227" t="s">
        <v>651</v>
      </c>
      <c r="J3" s="227" t="s">
        <v>24</v>
      </c>
      <c r="K3" s="227" t="s">
        <v>652</v>
      </c>
      <c r="L3" s="227" t="s">
        <v>26</v>
      </c>
      <c r="M3" s="227" t="s">
        <v>653</v>
      </c>
      <c r="N3" s="227" t="s">
        <v>654</v>
      </c>
    </row>
    <row r="4" spans="1:14" ht="20.100000000000001" customHeight="1" x14ac:dyDescent="0.25">
      <c r="A4" s="287" t="s">
        <v>823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</row>
    <row r="5" spans="1:14" ht="18.75" customHeight="1" x14ac:dyDescent="0.25">
      <c r="A5" s="34">
        <v>1</v>
      </c>
      <c r="B5" s="35" t="s">
        <v>232</v>
      </c>
      <c r="C5" s="35" t="s">
        <v>234</v>
      </c>
      <c r="D5" s="35" t="s">
        <v>235</v>
      </c>
      <c r="E5" s="144" t="s">
        <v>209</v>
      </c>
      <c r="F5" s="35"/>
      <c r="G5" s="35" t="s">
        <v>824</v>
      </c>
      <c r="H5" s="35" t="s">
        <v>354</v>
      </c>
      <c r="I5" s="35" t="s">
        <v>360</v>
      </c>
      <c r="J5" s="198">
        <v>5</v>
      </c>
      <c r="K5" s="35" t="s">
        <v>36</v>
      </c>
      <c r="L5" s="35" t="s">
        <v>825</v>
      </c>
      <c r="M5" s="35" t="s">
        <v>209</v>
      </c>
      <c r="N5" s="35" t="s">
        <v>826</v>
      </c>
    </row>
    <row r="6" spans="1:14" ht="18.75" customHeight="1" x14ac:dyDescent="0.25">
      <c r="A6" s="153">
        <v>2</v>
      </c>
      <c r="B6" s="154" t="s">
        <v>232</v>
      </c>
      <c r="C6" s="154" t="s">
        <v>234</v>
      </c>
      <c r="D6" s="154" t="s">
        <v>235</v>
      </c>
      <c r="E6" s="155" t="s">
        <v>209</v>
      </c>
      <c r="F6" s="154"/>
      <c r="G6" s="154" t="s">
        <v>827</v>
      </c>
      <c r="H6" s="154" t="s">
        <v>828</v>
      </c>
      <c r="I6" s="154" t="s">
        <v>367</v>
      </c>
      <c r="J6" s="224">
        <v>5</v>
      </c>
      <c r="K6" s="154" t="s">
        <v>36</v>
      </c>
      <c r="L6" s="154" t="s">
        <v>829</v>
      </c>
      <c r="M6" s="154" t="s">
        <v>209</v>
      </c>
      <c r="N6" s="154" t="s">
        <v>826</v>
      </c>
    </row>
    <row r="7" spans="1:14" ht="18.75" customHeight="1" x14ac:dyDescent="0.25">
      <c r="A7" s="153">
        <v>3</v>
      </c>
      <c r="B7" s="154" t="s">
        <v>232</v>
      </c>
      <c r="C7" s="154" t="s">
        <v>234</v>
      </c>
      <c r="D7" s="154" t="s">
        <v>235</v>
      </c>
      <c r="E7" s="155" t="s">
        <v>209</v>
      </c>
      <c r="F7" s="154"/>
      <c r="G7" s="154" t="s">
        <v>830</v>
      </c>
      <c r="H7" s="154" t="s">
        <v>831</v>
      </c>
      <c r="I7" s="154" t="s">
        <v>372</v>
      </c>
      <c r="J7" s="224">
        <v>5</v>
      </c>
      <c r="K7" s="154" t="s">
        <v>480</v>
      </c>
      <c r="L7" s="154" t="s">
        <v>832</v>
      </c>
      <c r="M7" s="154" t="s">
        <v>412</v>
      </c>
      <c r="N7" s="154" t="s">
        <v>833</v>
      </c>
    </row>
    <row r="8" spans="1:14" ht="18.75" customHeight="1" x14ac:dyDescent="0.25">
      <c r="A8" s="153">
        <v>4</v>
      </c>
      <c r="B8" s="154" t="s">
        <v>232</v>
      </c>
      <c r="C8" s="154" t="s">
        <v>234</v>
      </c>
      <c r="D8" s="154" t="s">
        <v>235</v>
      </c>
      <c r="E8" s="155" t="s">
        <v>209</v>
      </c>
      <c r="F8" s="154"/>
      <c r="G8" s="154" t="s">
        <v>834</v>
      </c>
      <c r="H8" s="154" t="s">
        <v>835</v>
      </c>
      <c r="I8" s="154" t="s">
        <v>377</v>
      </c>
      <c r="J8" s="224">
        <v>5</v>
      </c>
      <c r="K8" s="154" t="s">
        <v>36</v>
      </c>
      <c r="L8" s="154" t="s">
        <v>836</v>
      </c>
      <c r="M8" s="154" t="s">
        <v>209</v>
      </c>
      <c r="N8" s="154" t="s">
        <v>826</v>
      </c>
    </row>
    <row r="9" spans="1:14" ht="18.75" customHeight="1" x14ac:dyDescent="0.25">
      <c r="A9" s="153">
        <v>5</v>
      </c>
      <c r="B9" s="154" t="s">
        <v>232</v>
      </c>
      <c r="C9" s="154" t="s">
        <v>234</v>
      </c>
      <c r="D9" s="154" t="s">
        <v>235</v>
      </c>
      <c r="E9" s="155" t="s">
        <v>209</v>
      </c>
      <c r="F9" s="154"/>
      <c r="G9" s="154" t="s">
        <v>837</v>
      </c>
      <c r="H9" s="154" t="s">
        <v>838</v>
      </c>
      <c r="I9" s="154" t="s">
        <v>381</v>
      </c>
      <c r="J9" s="224">
        <v>5</v>
      </c>
      <c r="K9" s="154" t="s">
        <v>480</v>
      </c>
      <c r="L9" s="154" t="s">
        <v>832</v>
      </c>
      <c r="M9" s="154" t="s">
        <v>412</v>
      </c>
      <c r="N9" s="154" t="s">
        <v>833</v>
      </c>
    </row>
    <row r="10" spans="1:14" ht="20.100000000000001" customHeight="1" x14ac:dyDescent="0.25">
      <c r="A10" s="287" t="s">
        <v>893</v>
      </c>
      <c r="B10" s="237"/>
      <c r="C10" s="237"/>
      <c r="D10" s="237"/>
      <c r="E10" s="237"/>
      <c r="F10" s="237"/>
      <c r="G10" s="237"/>
      <c r="H10" s="237"/>
      <c r="I10" s="237"/>
      <c r="J10" s="237"/>
      <c r="K10" s="237"/>
      <c r="L10" s="237"/>
      <c r="M10" s="237"/>
      <c r="N10" s="237"/>
    </row>
    <row r="11" spans="1:14" ht="18.75" customHeight="1" x14ac:dyDescent="0.25">
      <c r="A11" s="153">
        <v>1</v>
      </c>
      <c r="B11" s="154" t="s">
        <v>839</v>
      </c>
      <c r="C11" s="154" t="s">
        <v>238</v>
      </c>
      <c r="D11" s="154" t="s">
        <v>235</v>
      </c>
      <c r="E11" s="155" t="s">
        <v>121</v>
      </c>
      <c r="F11" s="154"/>
      <c r="G11" s="154" t="s">
        <v>824</v>
      </c>
      <c r="H11" s="154" t="s">
        <v>354</v>
      </c>
      <c r="I11" s="154" t="s">
        <v>360</v>
      </c>
      <c r="J11" s="224">
        <v>30</v>
      </c>
      <c r="K11" s="154" t="s">
        <v>480</v>
      </c>
      <c r="L11" s="154" t="s">
        <v>832</v>
      </c>
      <c r="M11" s="154" t="s">
        <v>412</v>
      </c>
      <c r="N11" s="154" t="s">
        <v>833</v>
      </c>
    </row>
    <row r="12" spans="1:14" ht="18.75" customHeight="1" x14ac:dyDescent="0.25">
      <c r="A12" s="153">
        <v>2</v>
      </c>
      <c r="B12" s="154" t="s">
        <v>839</v>
      </c>
      <c r="C12" s="154" t="s">
        <v>238</v>
      </c>
      <c r="D12" s="154" t="s">
        <v>235</v>
      </c>
      <c r="E12" s="155" t="s">
        <v>121</v>
      </c>
      <c r="F12" s="154"/>
      <c r="G12" s="154" t="s">
        <v>827</v>
      </c>
      <c r="H12" s="154" t="s">
        <v>828</v>
      </c>
      <c r="I12" s="154" t="s">
        <v>367</v>
      </c>
      <c r="J12" s="224">
        <v>30</v>
      </c>
      <c r="K12" s="154" t="s">
        <v>36</v>
      </c>
      <c r="L12" s="154" t="s">
        <v>829</v>
      </c>
      <c r="M12" s="154" t="s">
        <v>121</v>
      </c>
      <c r="N12" s="154" t="s">
        <v>826</v>
      </c>
    </row>
    <row r="13" spans="1:14" ht="18.75" customHeight="1" x14ac:dyDescent="0.25">
      <c r="A13" s="153">
        <v>3</v>
      </c>
      <c r="B13" s="154" t="s">
        <v>839</v>
      </c>
      <c r="C13" s="154" t="s">
        <v>238</v>
      </c>
      <c r="D13" s="154" t="s">
        <v>235</v>
      </c>
      <c r="E13" s="155" t="s">
        <v>121</v>
      </c>
      <c r="F13" s="154"/>
      <c r="G13" s="154" t="s">
        <v>830</v>
      </c>
      <c r="H13" s="154" t="s">
        <v>831</v>
      </c>
      <c r="I13" s="154" t="s">
        <v>372</v>
      </c>
      <c r="J13" s="224">
        <v>30</v>
      </c>
      <c r="K13" s="154" t="s">
        <v>36</v>
      </c>
      <c r="L13" s="154" t="s">
        <v>840</v>
      </c>
      <c r="M13" s="154" t="s">
        <v>121</v>
      </c>
      <c r="N13" s="154" t="s">
        <v>826</v>
      </c>
    </row>
    <row r="14" spans="1:14" ht="18.75" customHeight="1" x14ac:dyDescent="0.25">
      <c r="A14" s="153">
        <v>4</v>
      </c>
      <c r="B14" s="154" t="s">
        <v>839</v>
      </c>
      <c r="C14" s="154" t="s">
        <v>238</v>
      </c>
      <c r="D14" s="154" t="s">
        <v>235</v>
      </c>
      <c r="E14" s="155" t="s">
        <v>121</v>
      </c>
      <c r="F14" s="154"/>
      <c r="G14" s="154" t="s">
        <v>834</v>
      </c>
      <c r="H14" s="154" t="s">
        <v>835</v>
      </c>
      <c r="I14" s="154" t="s">
        <v>377</v>
      </c>
      <c r="J14" s="224">
        <v>30</v>
      </c>
      <c r="K14" s="154" t="s">
        <v>480</v>
      </c>
      <c r="L14" s="154" t="s">
        <v>832</v>
      </c>
      <c r="M14" s="154" t="s">
        <v>412</v>
      </c>
      <c r="N14" s="154" t="s">
        <v>833</v>
      </c>
    </row>
    <row r="15" spans="1:14" ht="18.75" customHeight="1" x14ac:dyDescent="0.25">
      <c r="A15" s="153">
        <v>5</v>
      </c>
      <c r="B15" s="154" t="s">
        <v>839</v>
      </c>
      <c r="C15" s="154" t="s">
        <v>238</v>
      </c>
      <c r="D15" s="154" t="s">
        <v>235</v>
      </c>
      <c r="E15" s="155" t="s">
        <v>121</v>
      </c>
      <c r="F15" s="154"/>
      <c r="G15" s="154" t="s">
        <v>837</v>
      </c>
      <c r="H15" s="154" t="s">
        <v>838</v>
      </c>
      <c r="I15" s="154" t="s">
        <v>381</v>
      </c>
      <c r="J15" s="224">
        <v>30</v>
      </c>
      <c r="K15" s="154" t="s">
        <v>36</v>
      </c>
      <c r="L15" s="154" t="s">
        <v>841</v>
      </c>
      <c r="M15" s="154" t="s">
        <v>121</v>
      </c>
      <c r="N15" s="154" t="s">
        <v>826</v>
      </c>
    </row>
    <row r="16" spans="1:14" ht="20.100000000000001" customHeight="1" x14ac:dyDescent="0.25">
      <c r="A16" s="288" t="s">
        <v>842</v>
      </c>
      <c r="B16" s="289"/>
      <c r="C16" s="289"/>
      <c r="D16" s="289"/>
      <c r="E16" s="289"/>
      <c r="F16" s="289"/>
      <c r="G16" s="289"/>
      <c r="H16" s="289"/>
      <c r="I16" s="289"/>
      <c r="J16" s="289"/>
      <c r="K16" s="289"/>
      <c r="L16" s="289"/>
      <c r="M16" s="289"/>
      <c r="N16" s="289"/>
    </row>
    <row r="17" spans="1:14" ht="18.75" customHeight="1" x14ac:dyDescent="0.25">
      <c r="A17" s="153">
        <v>1</v>
      </c>
      <c r="B17" s="154" t="s">
        <v>239</v>
      </c>
      <c r="C17" s="154" t="s">
        <v>240</v>
      </c>
      <c r="D17" s="154" t="s">
        <v>241</v>
      </c>
      <c r="E17" s="155" t="s">
        <v>104</v>
      </c>
      <c r="F17" s="154"/>
      <c r="G17" s="154" t="s">
        <v>824</v>
      </c>
      <c r="H17" s="154" t="s">
        <v>354</v>
      </c>
      <c r="I17" s="154" t="s">
        <v>360</v>
      </c>
      <c r="J17" s="224">
        <v>45</v>
      </c>
      <c r="K17" s="154" t="s">
        <v>36</v>
      </c>
      <c r="L17" s="154" t="s">
        <v>825</v>
      </c>
      <c r="M17" s="154" t="s">
        <v>104</v>
      </c>
      <c r="N17" s="154" t="s">
        <v>826</v>
      </c>
    </row>
    <row r="18" spans="1:14" ht="18.75" customHeight="1" x14ac:dyDescent="0.25">
      <c r="A18" s="153">
        <v>2</v>
      </c>
      <c r="B18" s="154" t="s">
        <v>239</v>
      </c>
      <c r="C18" s="154" t="s">
        <v>240</v>
      </c>
      <c r="D18" s="154" t="s">
        <v>241</v>
      </c>
      <c r="E18" s="155" t="s">
        <v>104</v>
      </c>
      <c r="F18" s="154"/>
      <c r="G18" s="154" t="s">
        <v>827</v>
      </c>
      <c r="H18" s="154" t="s">
        <v>828</v>
      </c>
      <c r="I18" s="154" t="s">
        <v>367</v>
      </c>
      <c r="J18" s="224">
        <v>45</v>
      </c>
      <c r="K18" s="154" t="s">
        <v>480</v>
      </c>
      <c r="L18" s="154" t="s">
        <v>832</v>
      </c>
      <c r="M18" s="154" t="s">
        <v>412</v>
      </c>
      <c r="N18" s="154" t="s">
        <v>833</v>
      </c>
    </row>
    <row r="19" spans="1:14" ht="18.75" customHeight="1" x14ac:dyDescent="0.25">
      <c r="A19" s="153">
        <v>3</v>
      </c>
      <c r="B19" s="154" t="s">
        <v>239</v>
      </c>
      <c r="C19" s="154" t="s">
        <v>240</v>
      </c>
      <c r="D19" s="154" t="s">
        <v>241</v>
      </c>
      <c r="E19" s="155" t="s">
        <v>104</v>
      </c>
      <c r="F19" s="154"/>
      <c r="G19" s="154" t="s">
        <v>830</v>
      </c>
      <c r="H19" s="154" t="s">
        <v>831</v>
      </c>
      <c r="I19" s="154" t="s">
        <v>372</v>
      </c>
      <c r="J19" s="224">
        <v>45</v>
      </c>
      <c r="K19" s="154" t="s">
        <v>480</v>
      </c>
      <c r="L19" s="154" t="s">
        <v>832</v>
      </c>
      <c r="M19" s="154" t="s">
        <v>412</v>
      </c>
      <c r="N19" s="154" t="s">
        <v>833</v>
      </c>
    </row>
    <row r="20" spans="1:14" ht="18.75" customHeight="1" x14ac:dyDescent="0.25">
      <c r="A20" s="153">
        <v>4</v>
      </c>
      <c r="B20" s="154" t="s">
        <v>239</v>
      </c>
      <c r="C20" s="154" t="s">
        <v>240</v>
      </c>
      <c r="D20" s="154" t="s">
        <v>241</v>
      </c>
      <c r="E20" s="155" t="s">
        <v>104</v>
      </c>
      <c r="F20" s="154"/>
      <c r="G20" s="154" t="s">
        <v>834</v>
      </c>
      <c r="H20" s="154" t="s">
        <v>835</v>
      </c>
      <c r="I20" s="154" t="s">
        <v>377</v>
      </c>
      <c r="J20" s="224">
        <v>45</v>
      </c>
      <c r="K20" s="154" t="s">
        <v>36</v>
      </c>
      <c r="L20" s="154" t="s">
        <v>836</v>
      </c>
      <c r="M20" s="154" t="s">
        <v>104</v>
      </c>
      <c r="N20" s="154" t="s">
        <v>826</v>
      </c>
    </row>
    <row r="21" spans="1:14" ht="18.75" customHeight="1" x14ac:dyDescent="0.25">
      <c r="A21" s="153">
        <v>5</v>
      </c>
      <c r="B21" s="154" t="s">
        <v>239</v>
      </c>
      <c r="C21" s="154" t="s">
        <v>240</v>
      </c>
      <c r="D21" s="154" t="s">
        <v>241</v>
      </c>
      <c r="E21" s="155" t="s">
        <v>104</v>
      </c>
      <c r="F21" s="154"/>
      <c r="G21" s="154" t="s">
        <v>837</v>
      </c>
      <c r="H21" s="154" t="s">
        <v>838</v>
      </c>
      <c r="I21" s="154" t="s">
        <v>381</v>
      </c>
      <c r="J21" s="224">
        <v>45</v>
      </c>
      <c r="K21" s="154" t="s">
        <v>480</v>
      </c>
      <c r="L21" s="154" t="s">
        <v>832</v>
      </c>
      <c r="M21" s="154" t="s">
        <v>412</v>
      </c>
      <c r="N21" s="154" t="s">
        <v>833</v>
      </c>
    </row>
    <row r="22" spans="1:14" ht="20.100000000000001" customHeight="1" x14ac:dyDescent="0.25">
      <c r="A22" s="287" t="s">
        <v>843</v>
      </c>
      <c r="B22" s="237"/>
      <c r="C22" s="237"/>
      <c r="D22" s="237"/>
      <c r="E22" s="237"/>
      <c r="F22" s="237"/>
      <c r="G22" s="237"/>
      <c r="H22" s="237"/>
      <c r="I22" s="237"/>
      <c r="J22" s="237"/>
      <c r="K22" s="237"/>
      <c r="L22" s="237"/>
      <c r="M22" s="237"/>
      <c r="N22" s="237"/>
    </row>
    <row r="23" spans="1:14" ht="18.75" customHeight="1" x14ac:dyDescent="0.25">
      <c r="A23" s="153">
        <v>1</v>
      </c>
      <c r="B23" s="154" t="s">
        <v>242</v>
      </c>
      <c r="C23" s="154" t="s">
        <v>243</v>
      </c>
      <c r="D23" s="154" t="s">
        <v>244</v>
      </c>
      <c r="E23" s="155" t="s">
        <v>104</v>
      </c>
      <c r="F23" s="154"/>
      <c r="G23" s="154" t="s">
        <v>824</v>
      </c>
      <c r="H23" s="154" t="s">
        <v>354</v>
      </c>
      <c r="I23" s="154" t="s">
        <v>360</v>
      </c>
      <c r="J23" s="224">
        <v>20</v>
      </c>
      <c r="K23" s="154" t="s">
        <v>480</v>
      </c>
      <c r="L23" s="154" t="s">
        <v>832</v>
      </c>
      <c r="M23" s="154" t="s">
        <v>412</v>
      </c>
      <c r="N23" s="154" t="s">
        <v>833</v>
      </c>
    </row>
    <row r="24" spans="1:14" ht="18.75" customHeight="1" x14ac:dyDescent="0.25">
      <c r="A24" s="153">
        <v>2</v>
      </c>
      <c r="B24" s="154" t="s">
        <v>242</v>
      </c>
      <c r="C24" s="154" t="s">
        <v>243</v>
      </c>
      <c r="D24" s="154" t="s">
        <v>244</v>
      </c>
      <c r="E24" s="155" t="s">
        <v>104</v>
      </c>
      <c r="F24" s="154"/>
      <c r="G24" s="154" t="s">
        <v>827</v>
      </c>
      <c r="H24" s="154" t="s">
        <v>828</v>
      </c>
      <c r="I24" s="154" t="s">
        <v>367</v>
      </c>
      <c r="J24" s="224">
        <v>20</v>
      </c>
      <c r="K24" s="154" t="s">
        <v>480</v>
      </c>
      <c r="L24" s="154" t="s">
        <v>832</v>
      </c>
      <c r="M24" s="154" t="s">
        <v>412</v>
      </c>
      <c r="N24" s="154" t="s">
        <v>833</v>
      </c>
    </row>
    <row r="25" spans="1:14" ht="18.75" customHeight="1" x14ac:dyDescent="0.25">
      <c r="A25" s="153">
        <v>3</v>
      </c>
      <c r="B25" s="154" t="s">
        <v>242</v>
      </c>
      <c r="C25" s="154" t="s">
        <v>243</v>
      </c>
      <c r="D25" s="154" t="s">
        <v>244</v>
      </c>
      <c r="E25" s="155" t="s">
        <v>104</v>
      </c>
      <c r="F25" s="154"/>
      <c r="G25" s="154" t="s">
        <v>830</v>
      </c>
      <c r="H25" s="154" t="s">
        <v>831</v>
      </c>
      <c r="I25" s="154" t="s">
        <v>372</v>
      </c>
      <c r="J25" s="224">
        <v>20</v>
      </c>
      <c r="K25" s="154" t="s">
        <v>36</v>
      </c>
      <c r="L25" s="154" t="s">
        <v>840</v>
      </c>
      <c r="M25" s="154" t="s">
        <v>104</v>
      </c>
      <c r="N25" s="154" t="s">
        <v>826</v>
      </c>
    </row>
    <row r="26" spans="1:14" ht="18.75" customHeight="1" x14ac:dyDescent="0.25">
      <c r="A26" s="153">
        <v>4</v>
      </c>
      <c r="B26" s="154" t="s">
        <v>242</v>
      </c>
      <c r="C26" s="154" t="s">
        <v>243</v>
      </c>
      <c r="D26" s="154" t="s">
        <v>244</v>
      </c>
      <c r="E26" s="155" t="s">
        <v>104</v>
      </c>
      <c r="F26" s="154"/>
      <c r="G26" s="154" t="s">
        <v>834</v>
      </c>
      <c r="H26" s="154" t="s">
        <v>835</v>
      </c>
      <c r="I26" s="154" t="s">
        <v>377</v>
      </c>
      <c r="J26" s="224">
        <v>20</v>
      </c>
      <c r="K26" s="154" t="s">
        <v>36</v>
      </c>
      <c r="L26" s="154" t="s">
        <v>836</v>
      </c>
      <c r="M26" s="154" t="s">
        <v>104</v>
      </c>
      <c r="N26" s="154" t="s">
        <v>826</v>
      </c>
    </row>
    <row r="27" spans="1:14" ht="18.75" customHeight="1" x14ac:dyDescent="0.25">
      <c r="A27" s="153">
        <v>5</v>
      </c>
      <c r="B27" s="154" t="s">
        <v>242</v>
      </c>
      <c r="C27" s="154" t="s">
        <v>243</v>
      </c>
      <c r="D27" s="154" t="s">
        <v>244</v>
      </c>
      <c r="E27" s="155" t="s">
        <v>104</v>
      </c>
      <c r="F27" s="154"/>
      <c r="G27" s="154" t="s">
        <v>837</v>
      </c>
      <c r="H27" s="154" t="s">
        <v>838</v>
      </c>
      <c r="I27" s="154" t="s">
        <v>381</v>
      </c>
      <c r="J27" s="224">
        <v>20</v>
      </c>
      <c r="K27" s="154" t="s">
        <v>480</v>
      </c>
      <c r="L27" s="154" t="s">
        <v>832</v>
      </c>
      <c r="M27" s="154" t="s">
        <v>412</v>
      </c>
      <c r="N27" s="154" t="s">
        <v>833</v>
      </c>
    </row>
    <row r="28" spans="1:14" ht="20.100000000000001" customHeight="1" x14ac:dyDescent="0.25">
      <c r="A28" s="287" t="s">
        <v>844</v>
      </c>
      <c r="B28" s="237"/>
      <c r="C28" s="237"/>
      <c r="D28" s="237"/>
      <c r="E28" s="237"/>
      <c r="F28" s="237"/>
      <c r="G28" s="237"/>
      <c r="H28" s="237"/>
      <c r="I28" s="237"/>
      <c r="J28" s="237"/>
      <c r="K28" s="237"/>
      <c r="L28" s="237"/>
      <c r="M28" s="237"/>
      <c r="N28" s="237"/>
    </row>
    <row r="29" spans="1:14" ht="18.75" customHeight="1" x14ac:dyDescent="0.25">
      <c r="A29" s="153">
        <v>1</v>
      </c>
      <c r="B29" s="154" t="s">
        <v>245</v>
      </c>
      <c r="C29" s="154" t="s">
        <v>246</v>
      </c>
      <c r="D29" s="154" t="s">
        <v>235</v>
      </c>
      <c r="E29" s="155" t="s">
        <v>104</v>
      </c>
      <c r="F29" s="154"/>
      <c r="G29" s="154" t="s">
        <v>824</v>
      </c>
      <c r="H29" s="154" t="s">
        <v>354</v>
      </c>
      <c r="I29" s="154" t="s">
        <v>360</v>
      </c>
      <c r="J29" s="224">
        <v>60</v>
      </c>
      <c r="K29" s="154" t="s">
        <v>36</v>
      </c>
      <c r="L29" s="154" t="s">
        <v>825</v>
      </c>
      <c r="M29" s="154" t="s">
        <v>104</v>
      </c>
      <c r="N29" s="154" t="s">
        <v>826</v>
      </c>
    </row>
    <row r="30" spans="1:14" ht="20.25" customHeight="1" x14ac:dyDescent="0.25">
      <c r="A30" s="105">
        <v>2</v>
      </c>
      <c r="B30" s="105" t="s">
        <v>245</v>
      </c>
      <c r="C30" s="105" t="s">
        <v>246</v>
      </c>
      <c r="D30" s="105" t="s">
        <v>235</v>
      </c>
      <c r="E30" s="105" t="s">
        <v>104</v>
      </c>
      <c r="F30" s="105"/>
      <c r="G30" s="105" t="s">
        <v>827</v>
      </c>
      <c r="H30" s="105" t="s">
        <v>828</v>
      </c>
      <c r="I30" s="105" t="s">
        <v>367</v>
      </c>
      <c r="J30" s="201">
        <v>60</v>
      </c>
      <c r="K30" s="105" t="s">
        <v>36</v>
      </c>
      <c r="L30" s="105" t="s">
        <v>829</v>
      </c>
      <c r="M30" s="105" t="s">
        <v>104</v>
      </c>
      <c r="N30" s="105" t="s">
        <v>826</v>
      </c>
    </row>
    <row r="31" spans="1:14" ht="20.100000000000001" customHeight="1" x14ac:dyDescent="0.25">
      <c r="A31" s="150">
        <v>3</v>
      </c>
      <c r="B31" s="151" t="s">
        <v>245</v>
      </c>
      <c r="C31" s="151" t="s">
        <v>246</v>
      </c>
      <c r="D31" s="151" t="s">
        <v>235</v>
      </c>
      <c r="E31" s="151" t="s">
        <v>104</v>
      </c>
      <c r="F31" s="151"/>
      <c r="G31" s="151" t="s">
        <v>830</v>
      </c>
      <c r="H31" s="151" t="s">
        <v>831</v>
      </c>
      <c r="I31" s="151" t="s">
        <v>372</v>
      </c>
      <c r="J31" s="225">
        <v>60</v>
      </c>
      <c r="K31" s="151" t="s">
        <v>480</v>
      </c>
      <c r="L31" s="151" t="s">
        <v>832</v>
      </c>
      <c r="M31" s="151" t="s">
        <v>412</v>
      </c>
      <c r="N31" s="152" t="s">
        <v>833</v>
      </c>
    </row>
    <row r="32" spans="1:14" ht="18.75" customHeight="1" x14ac:dyDescent="0.25">
      <c r="A32" s="34">
        <v>4</v>
      </c>
      <c r="B32" s="35" t="s">
        <v>245</v>
      </c>
      <c r="C32" s="35" t="s">
        <v>246</v>
      </c>
      <c r="D32" s="35" t="s">
        <v>235</v>
      </c>
      <c r="E32" s="109" t="s">
        <v>104</v>
      </c>
      <c r="F32" s="35"/>
      <c r="G32" s="35" t="s">
        <v>834</v>
      </c>
      <c r="H32" s="35" t="s">
        <v>835</v>
      </c>
      <c r="I32" s="35" t="s">
        <v>377</v>
      </c>
      <c r="J32" s="198">
        <v>60</v>
      </c>
      <c r="K32" s="35" t="s">
        <v>480</v>
      </c>
      <c r="L32" s="35" t="s">
        <v>832</v>
      </c>
      <c r="M32" s="35" t="s">
        <v>412</v>
      </c>
      <c r="N32" s="35" t="s">
        <v>833</v>
      </c>
    </row>
    <row r="33" spans="1:14" ht="18.75" customHeight="1" x14ac:dyDescent="0.25">
      <c r="A33" s="156">
        <v>5</v>
      </c>
      <c r="B33" s="157" t="s">
        <v>245</v>
      </c>
      <c r="C33" s="157" t="s">
        <v>246</v>
      </c>
      <c r="D33" s="157" t="s">
        <v>235</v>
      </c>
      <c r="E33" s="158" t="s">
        <v>104</v>
      </c>
      <c r="F33" s="157"/>
      <c r="G33" s="157" t="s">
        <v>837</v>
      </c>
      <c r="H33" s="157" t="s">
        <v>838</v>
      </c>
      <c r="I33" s="157" t="s">
        <v>381</v>
      </c>
      <c r="J33" s="226">
        <v>60</v>
      </c>
      <c r="K33" s="157" t="s">
        <v>36</v>
      </c>
      <c r="L33" s="157" t="s">
        <v>841</v>
      </c>
      <c r="M33" s="157" t="s">
        <v>104</v>
      </c>
      <c r="N33" s="157" t="s">
        <v>826</v>
      </c>
    </row>
    <row r="34" spans="1:14" ht="20.100000000000001" customHeight="1" x14ac:dyDescent="0.25">
      <c r="A34" s="287" t="s">
        <v>845</v>
      </c>
      <c r="B34" s="237"/>
      <c r="C34" s="237"/>
      <c r="D34" s="237"/>
      <c r="E34" s="237"/>
      <c r="F34" s="237"/>
      <c r="G34" s="237"/>
      <c r="H34" s="237"/>
      <c r="I34" s="237"/>
      <c r="J34" s="237"/>
      <c r="K34" s="237"/>
      <c r="L34" s="237"/>
      <c r="M34" s="237"/>
      <c r="N34" s="237"/>
    </row>
    <row r="35" spans="1:14" ht="18.75" customHeight="1" x14ac:dyDescent="0.25">
      <c r="A35" s="156">
        <v>1</v>
      </c>
      <c r="B35" s="157" t="s">
        <v>247</v>
      </c>
      <c r="C35" s="157" t="s">
        <v>248</v>
      </c>
      <c r="D35" s="157" t="s">
        <v>249</v>
      </c>
      <c r="E35" s="158" t="s">
        <v>121</v>
      </c>
      <c r="F35" s="157"/>
      <c r="G35" s="157" t="s">
        <v>824</v>
      </c>
      <c r="H35" s="157" t="s">
        <v>354</v>
      </c>
      <c r="I35" s="157" t="s">
        <v>360</v>
      </c>
      <c r="J35" s="226">
        <v>15</v>
      </c>
      <c r="K35" s="157" t="s">
        <v>480</v>
      </c>
      <c r="L35" s="157" t="s">
        <v>832</v>
      </c>
      <c r="M35" s="157" t="s">
        <v>412</v>
      </c>
      <c r="N35" s="157" t="s">
        <v>833</v>
      </c>
    </row>
    <row r="36" spans="1:14" ht="18.75" customHeight="1" x14ac:dyDescent="0.25">
      <c r="A36" s="156">
        <v>2</v>
      </c>
      <c r="B36" s="157" t="s">
        <v>247</v>
      </c>
      <c r="C36" s="157" t="s">
        <v>248</v>
      </c>
      <c r="D36" s="157" t="s">
        <v>249</v>
      </c>
      <c r="E36" s="158" t="s">
        <v>121</v>
      </c>
      <c r="F36" s="157"/>
      <c r="G36" s="157" t="s">
        <v>827</v>
      </c>
      <c r="H36" s="157" t="s">
        <v>828</v>
      </c>
      <c r="I36" s="157" t="s">
        <v>367</v>
      </c>
      <c r="J36" s="226">
        <v>15</v>
      </c>
      <c r="K36" s="157" t="s">
        <v>36</v>
      </c>
      <c r="L36" s="157" t="s">
        <v>829</v>
      </c>
      <c r="M36" s="157" t="s">
        <v>121</v>
      </c>
      <c r="N36" s="157" t="s">
        <v>826</v>
      </c>
    </row>
    <row r="37" spans="1:14" ht="18.75" customHeight="1" x14ac:dyDescent="0.25">
      <c r="A37" s="156">
        <v>3</v>
      </c>
      <c r="B37" s="157" t="s">
        <v>247</v>
      </c>
      <c r="C37" s="157" t="s">
        <v>248</v>
      </c>
      <c r="D37" s="157" t="s">
        <v>249</v>
      </c>
      <c r="E37" s="158" t="s">
        <v>121</v>
      </c>
      <c r="F37" s="157"/>
      <c r="G37" s="157" t="s">
        <v>830</v>
      </c>
      <c r="H37" s="157" t="s">
        <v>831</v>
      </c>
      <c r="I37" s="157" t="s">
        <v>372</v>
      </c>
      <c r="J37" s="226">
        <v>15</v>
      </c>
      <c r="K37" s="157" t="s">
        <v>36</v>
      </c>
      <c r="L37" s="157" t="s">
        <v>840</v>
      </c>
      <c r="M37" s="157" t="s">
        <v>121</v>
      </c>
      <c r="N37" s="157" t="s">
        <v>826</v>
      </c>
    </row>
    <row r="38" spans="1:14" ht="18.75" customHeight="1" x14ac:dyDescent="0.25">
      <c r="A38" s="156">
        <v>4</v>
      </c>
      <c r="B38" s="157" t="s">
        <v>247</v>
      </c>
      <c r="C38" s="157" t="s">
        <v>248</v>
      </c>
      <c r="D38" s="157" t="s">
        <v>249</v>
      </c>
      <c r="E38" s="158" t="s">
        <v>121</v>
      </c>
      <c r="F38" s="157"/>
      <c r="G38" s="157" t="s">
        <v>834</v>
      </c>
      <c r="H38" s="157" t="s">
        <v>835</v>
      </c>
      <c r="I38" s="157" t="s">
        <v>377</v>
      </c>
      <c r="J38" s="226">
        <v>15</v>
      </c>
      <c r="K38" s="157" t="s">
        <v>480</v>
      </c>
      <c r="L38" s="157" t="s">
        <v>832</v>
      </c>
      <c r="M38" s="157" t="s">
        <v>412</v>
      </c>
      <c r="N38" s="157" t="s">
        <v>833</v>
      </c>
    </row>
    <row r="39" spans="1:14" ht="18.75" customHeight="1" x14ac:dyDescent="0.25">
      <c r="A39" s="156">
        <v>5</v>
      </c>
      <c r="B39" s="157" t="s">
        <v>247</v>
      </c>
      <c r="C39" s="157" t="s">
        <v>248</v>
      </c>
      <c r="D39" s="157" t="s">
        <v>249</v>
      </c>
      <c r="E39" s="158" t="s">
        <v>121</v>
      </c>
      <c r="F39" s="157"/>
      <c r="G39" s="157" t="s">
        <v>837</v>
      </c>
      <c r="H39" s="157" t="s">
        <v>838</v>
      </c>
      <c r="I39" s="157" t="s">
        <v>381</v>
      </c>
      <c r="J39" s="226">
        <v>15</v>
      </c>
      <c r="K39" s="157" t="s">
        <v>480</v>
      </c>
      <c r="L39" s="157" t="s">
        <v>832</v>
      </c>
      <c r="M39" s="157" t="s">
        <v>412</v>
      </c>
      <c r="N39" s="157" t="s">
        <v>833</v>
      </c>
    </row>
    <row r="40" spans="1:14" ht="20.100000000000001" customHeight="1" x14ac:dyDescent="0.25">
      <c r="A40" s="287" t="s">
        <v>846</v>
      </c>
      <c r="B40" s="237"/>
      <c r="C40" s="237"/>
      <c r="D40" s="237"/>
      <c r="E40" s="237"/>
      <c r="F40" s="237"/>
      <c r="G40" s="237"/>
      <c r="H40" s="237"/>
      <c r="I40" s="237"/>
      <c r="J40" s="237"/>
      <c r="K40" s="237"/>
      <c r="L40" s="237"/>
      <c r="M40" s="237"/>
      <c r="N40" s="237"/>
    </row>
    <row r="41" spans="1:14" ht="18.75" customHeight="1" x14ac:dyDescent="0.25">
      <c r="A41" s="156">
        <v>1</v>
      </c>
      <c r="B41" s="157" t="s">
        <v>250</v>
      </c>
      <c r="C41" s="157" t="s">
        <v>251</v>
      </c>
      <c r="D41" s="157" t="s">
        <v>252</v>
      </c>
      <c r="E41" s="158" t="s">
        <v>104</v>
      </c>
      <c r="F41" s="157"/>
      <c r="G41" s="157" t="s">
        <v>824</v>
      </c>
      <c r="H41" s="157" t="s">
        <v>354</v>
      </c>
      <c r="I41" s="157" t="s">
        <v>360</v>
      </c>
      <c r="J41" s="226">
        <v>25</v>
      </c>
      <c r="K41" s="157" t="s">
        <v>36</v>
      </c>
      <c r="L41" s="157" t="s">
        <v>825</v>
      </c>
      <c r="M41" s="157" t="s">
        <v>104</v>
      </c>
      <c r="N41" s="157" t="s">
        <v>826</v>
      </c>
    </row>
    <row r="42" spans="1:14" ht="18.75" customHeight="1" x14ac:dyDescent="0.25">
      <c r="A42" s="156">
        <v>2</v>
      </c>
      <c r="B42" s="157" t="s">
        <v>250</v>
      </c>
      <c r="C42" s="157" t="s">
        <v>251</v>
      </c>
      <c r="D42" s="157" t="s">
        <v>252</v>
      </c>
      <c r="E42" s="158" t="s">
        <v>104</v>
      </c>
      <c r="F42" s="157"/>
      <c r="G42" s="157" t="s">
        <v>827</v>
      </c>
      <c r="H42" s="157" t="s">
        <v>828</v>
      </c>
      <c r="I42" s="157" t="s">
        <v>367</v>
      </c>
      <c r="J42" s="226">
        <v>25</v>
      </c>
      <c r="K42" s="157" t="s">
        <v>480</v>
      </c>
      <c r="L42" s="157" t="s">
        <v>832</v>
      </c>
      <c r="M42" s="157" t="s">
        <v>412</v>
      </c>
      <c r="N42" s="157" t="s">
        <v>833</v>
      </c>
    </row>
    <row r="43" spans="1:14" ht="18.75" customHeight="1" x14ac:dyDescent="0.25">
      <c r="A43" s="156">
        <v>3</v>
      </c>
      <c r="B43" s="157" t="s">
        <v>250</v>
      </c>
      <c r="C43" s="157" t="s">
        <v>251</v>
      </c>
      <c r="D43" s="157" t="s">
        <v>252</v>
      </c>
      <c r="E43" s="158" t="s">
        <v>104</v>
      </c>
      <c r="F43" s="157"/>
      <c r="G43" s="157" t="s">
        <v>830</v>
      </c>
      <c r="H43" s="157" t="s">
        <v>831</v>
      </c>
      <c r="I43" s="157" t="s">
        <v>372</v>
      </c>
      <c r="J43" s="226">
        <v>25</v>
      </c>
      <c r="K43" s="157" t="s">
        <v>480</v>
      </c>
      <c r="L43" s="157" t="s">
        <v>832</v>
      </c>
      <c r="M43" s="157" t="s">
        <v>412</v>
      </c>
      <c r="N43" s="157" t="s">
        <v>833</v>
      </c>
    </row>
    <row r="44" spans="1:14" ht="18.75" customHeight="1" x14ac:dyDescent="0.25">
      <c r="A44" s="156">
        <v>4</v>
      </c>
      <c r="B44" s="157" t="s">
        <v>250</v>
      </c>
      <c r="C44" s="157" t="s">
        <v>251</v>
      </c>
      <c r="D44" s="157" t="s">
        <v>252</v>
      </c>
      <c r="E44" s="158" t="s">
        <v>104</v>
      </c>
      <c r="F44" s="157"/>
      <c r="G44" s="157" t="s">
        <v>834</v>
      </c>
      <c r="H44" s="157" t="s">
        <v>835</v>
      </c>
      <c r="I44" s="157" t="s">
        <v>377</v>
      </c>
      <c r="J44" s="226">
        <v>25</v>
      </c>
      <c r="K44" s="157" t="s">
        <v>36</v>
      </c>
      <c r="L44" s="157" t="s">
        <v>836</v>
      </c>
      <c r="M44" s="157" t="s">
        <v>104</v>
      </c>
      <c r="N44" s="157" t="s">
        <v>826</v>
      </c>
    </row>
    <row r="45" spans="1:14" ht="18.75" customHeight="1" x14ac:dyDescent="0.25">
      <c r="A45" s="156">
        <v>5</v>
      </c>
      <c r="B45" s="157" t="s">
        <v>250</v>
      </c>
      <c r="C45" s="157" t="s">
        <v>251</v>
      </c>
      <c r="D45" s="157" t="s">
        <v>252</v>
      </c>
      <c r="E45" s="158" t="s">
        <v>104</v>
      </c>
      <c r="F45" s="157"/>
      <c r="G45" s="157" t="s">
        <v>837</v>
      </c>
      <c r="H45" s="157" t="s">
        <v>838</v>
      </c>
      <c r="I45" s="157" t="s">
        <v>381</v>
      </c>
      <c r="J45" s="226">
        <v>25</v>
      </c>
      <c r="K45" s="157" t="s">
        <v>480</v>
      </c>
      <c r="L45" s="157" t="s">
        <v>832</v>
      </c>
      <c r="M45" s="157" t="s">
        <v>412</v>
      </c>
      <c r="N45" s="157" t="s">
        <v>833</v>
      </c>
    </row>
    <row r="46" spans="1:14" ht="20.100000000000001" customHeight="1" x14ac:dyDescent="0.25">
      <c r="A46" s="287" t="s">
        <v>847</v>
      </c>
      <c r="B46" s="237"/>
      <c r="C46" s="237"/>
      <c r="D46" s="237"/>
      <c r="E46" s="237"/>
      <c r="F46" s="237"/>
      <c r="G46" s="237"/>
      <c r="H46" s="237"/>
      <c r="I46" s="237"/>
      <c r="J46" s="237"/>
      <c r="K46" s="237"/>
      <c r="L46" s="237"/>
      <c r="M46" s="237"/>
      <c r="N46" s="237"/>
    </row>
    <row r="47" spans="1:14" ht="18.75" customHeight="1" x14ac:dyDescent="0.25">
      <c r="A47" s="156">
        <v>1</v>
      </c>
      <c r="B47" s="157" t="s">
        <v>253</v>
      </c>
      <c r="C47" s="157" t="s">
        <v>254</v>
      </c>
      <c r="D47" s="157" t="s">
        <v>255</v>
      </c>
      <c r="E47" s="158" t="s">
        <v>121</v>
      </c>
      <c r="F47" s="157"/>
      <c r="G47" s="157" t="s">
        <v>824</v>
      </c>
      <c r="H47" s="157" t="s">
        <v>354</v>
      </c>
      <c r="I47" s="157" t="s">
        <v>360</v>
      </c>
      <c r="J47" s="226">
        <v>20</v>
      </c>
      <c r="K47" s="157" t="s">
        <v>480</v>
      </c>
      <c r="L47" s="157" t="s">
        <v>832</v>
      </c>
      <c r="M47" s="157" t="s">
        <v>412</v>
      </c>
      <c r="N47" s="157" t="s">
        <v>833</v>
      </c>
    </row>
    <row r="48" spans="1:14" ht="18.75" customHeight="1" x14ac:dyDescent="0.25">
      <c r="A48" s="156">
        <v>2</v>
      </c>
      <c r="B48" s="157" t="s">
        <v>253</v>
      </c>
      <c r="C48" s="157" t="s">
        <v>254</v>
      </c>
      <c r="D48" s="157" t="s">
        <v>255</v>
      </c>
      <c r="E48" s="158" t="s">
        <v>121</v>
      </c>
      <c r="F48" s="157"/>
      <c r="G48" s="157" t="s">
        <v>827</v>
      </c>
      <c r="H48" s="157" t="s">
        <v>828</v>
      </c>
      <c r="I48" s="157" t="s">
        <v>367</v>
      </c>
      <c r="J48" s="226">
        <v>20</v>
      </c>
      <c r="K48" s="157" t="s">
        <v>36</v>
      </c>
      <c r="L48" s="157" t="s">
        <v>829</v>
      </c>
      <c r="M48" s="157" t="s">
        <v>121</v>
      </c>
      <c r="N48" s="157" t="s">
        <v>826</v>
      </c>
    </row>
    <row r="49" spans="1:14" ht="18.75" customHeight="1" x14ac:dyDescent="0.25">
      <c r="A49" s="156">
        <v>3</v>
      </c>
      <c r="B49" s="157" t="s">
        <v>253</v>
      </c>
      <c r="C49" s="157" t="s">
        <v>254</v>
      </c>
      <c r="D49" s="157" t="s">
        <v>255</v>
      </c>
      <c r="E49" s="158" t="s">
        <v>121</v>
      </c>
      <c r="F49" s="157"/>
      <c r="G49" s="157" t="s">
        <v>830</v>
      </c>
      <c r="H49" s="157" t="s">
        <v>831</v>
      </c>
      <c r="I49" s="157" t="s">
        <v>372</v>
      </c>
      <c r="J49" s="226">
        <v>20</v>
      </c>
      <c r="K49" s="157" t="s">
        <v>480</v>
      </c>
      <c r="L49" s="157" t="s">
        <v>832</v>
      </c>
      <c r="M49" s="157" t="s">
        <v>412</v>
      </c>
      <c r="N49" s="157" t="s">
        <v>833</v>
      </c>
    </row>
    <row r="50" spans="1:14" ht="18.75" customHeight="1" x14ac:dyDescent="0.25">
      <c r="A50" s="156">
        <v>4</v>
      </c>
      <c r="B50" s="157" t="s">
        <v>253</v>
      </c>
      <c r="C50" s="157" t="s">
        <v>254</v>
      </c>
      <c r="D50" s="157" t="s">
        <v>255</v>
      </c>
      <c r="E50" s="158" t="s">
        <v>121</v>
      </c>
      <c r="F50" s="157"/>
      <c r="G50" s="157" t="s">
        <v>834</v>
      </c>
      <c r="H50" s="157" t="s">
        <v>835</v>
      </c>
      <c r="I50" s="157" t="s">
        <v>377</v>
      </c>
      <c r="J50" s="226">
        <v>20</v>
      </c>
      <c r="K50" s="157" t="s">
        <v>480</v>
      </c>
      <c r="L50" s="157" t="s">
        <v>832</v>
      </c>
      <c r="M50" s="157" t="s">
        <v>412</v>
      </c>
      <c r="N50" s="157" t="s">
        <v>833</v>
      </c>
    </row>
    <row r="51" spans="1:14" ht="18.75" customHeight="1" x14ac:dyDescent="0.25">
      <c r="A51" s="156">
        <v>5</v>
      </c>
      <c r="B51" s="157" t="s">
        <v>253</v>
      </c>
      <c r="C51" s="157" t="s">
        <v>254</v>
      </c>
      <c r="D51" s="157" t="s">
        <v>255</v>
      </c>
      <c r="E51" s="158" t="s">
        <v>121</v>
      </c>
      <c r="F51" s="157"/>
      <c r="G51" s="157" t="s">
        <v>837</v>
      </c>
      <c r="H51" s="157" t="s">
        <v>838</v>
      </c>
      <c r="I51" s="157" t="s">
        <v>381</v>
      </c>
      <c r="J51" s="226">
        <v>20</v>
      </c>
      <c r="K51" s="157" t="s">
        <v>36</v>
      </c>
      <c r="L51" s="157" t="s">
        <v>841</v>
      </c>
      <c r="M51" s="157" t="s">
        <v>121</v>
      </c>
      <c r="N51" s="157" t="s">
        <v>826</v>
      </c>
    </row>
    <row r="52" spans="1:14" ht="18.75" customHeight="1" x14ac:dyDescent="0.25">
      <c r="A52" s="156"/>
      <c r="B52" s="157"/>
      <c r="C52" s="157"/>
      <c r="D52" s="157"/>
      <c r="E52" s="158"/>
      <c r="F52" s="157"/>
      <c r="G52" s="157"/>
      <c r="H52" s="157"/>
      <c r="I52" s="157"/>
      <c r="J52" s="156"/>
      <c r="K52" s="157"/>
      <c r="L52" s="157"/>
      <c r="M52" s="157"/>
      <c r="N52" s="157"/>
    </row>
    <row r="53" spans="1:14" ht="18.75" customHeight="1" x14ac:dyDescent="0.25">
      <c r="A53" s="156"/>
      <c r="B53" s="157"/>
      <c r="C53" s="157"/>
      <c r="D53" s="157"/>
      <c r="E53" s="158"/>
      <c r="F53" s="157"/>
      <c r="G53" s="157"/>
      <c r="H53" s="157"/>
      <c r="I53" s="157"/>
      <c r="J53" s="156"/>
      <c r="K53" s="157"/>
      <c r="L53" s="157"/>
      <c r="M53" s="157"/>
      <c r="N53" s="157"/>
    </row>
    <row r="54" spans="1:14" ht="18.75" customHeight="1" x14ac:dyDescent="0.25">
      <c r="A54" s="156"/>
      <c r="B54" s="157"/>
      <c r="C54" s="157"/>
      <c r="D54" s="157"/>
      <c r="E54" s="158"/>
      <c r="F54" s="157"/>
      <c r="G54" s="157"/>
      <c r="H54" s="157"/>
      <c r="I54" s="157"/>
      <c r="J54" s="156"/>
      <c r="K54" s="157"/>
      <c r="L54" s="157"/>
      <c r="M54" s="157"/>
      <c r="N54" s="157"/>
    </row>
    <row r="55" spans="1:14" ht="26.1" customHeight="1" x14ac:dyDescent="0.25">
      <c r="A55" s="286" t="s">
        <v>848</v>
      </c>
      <c r="B55" s="237"/>
      <c r="C55" s="237"/>
      <c r="D55" s="237"/>
      <c r="E55" s="237"/>
      <c r="F55" s="237"/>
      <c r="G55" s="237"/>
      <c r="H55" s="237"/>
      <c r="I55" s="237"/>
      <c r="J55" s="237"/>
      <c r="K55" s="237"/>
      <c r="L55" s="237"/>
      <c r="M55" s="237"/>
      <c r="N55" s="237"/>
    </row>
    <row r="56" spans="1:14" ht="32.1" customHeight="1" x14ac:dyDescent="0.25">
      <c r="A56" s="228" t="s">
        <v>17</v>
      </c>
      <c r="B56" s="228" t="s">
        <v>18</v>
      </c>
      <c r="C56" s="228" t="s">
        <v>692</v>
      </c>
      <c r="D56" s="228" t="s">
        <v>693</v>
      </c>
      <c r="E56" s="228" t="s">
        <v>694</v>
      </c>
      <c r="F56" s="228" t="s">
        <v>695</v>
      </c>
      <c r="G56" s="228" t="s">
        <v>623</v>
      </c>
      <c r="H56" s="228" t="s">
        <v>696</v>
      </c>
      <c r="I56" s="228" t="s">
        <v>697</v>
      </c>
      <c r="J56" s="228" t="s">
        <v>698</v>
      </c>
      <c r="K56" s="228" t="s">
        <v>699</v>
      </c>
      <c r="L56" s="228" t="s">
        <v>700</v>
      </c>
    </row>
    <row r="57" spans="1:14" ht="30" customHeight="1" x14ac:dyDescent="0.25">
      <c r="A57" s="159">
        <v>1</v>
      </c>
      <c r="B57" s="160" t="s">
        <v>232</v>
      </c>
      <c r="C57" s="160" t="s">
        <v>234</v>
      </c>
      <c r="D57" s="159">
        <v>5</v>
      </c>
      <c r="E57" s="159">
        <v>3</v>
      </c>
      <c r="F57" s="159">
        <v>2</v>
      </c>
      <c r="G57" s="159">
        <v>0</v>
      </c>
      <c r="H57" s="159">
        <v>60</v>
      </c>
      <c r="I57" s="160" t="s">
        <v>849</v>
      </c>
      <c r="J57" s="160" t="s">
        <v>850</v>
      </c>
      <c r="K57" s="159" t="s">
        <v>209</v>
      </c>
      <c r="L57" s="160" t="s">
        <v>851</v>
      </c>
      <c r="M57" s="105"/>
      <c r="N57" s="105"/>
    </row>
    <row r="58" spans="1:14" ht="30" customHeight="1" x14ac:dyDescent="0.25">
      <c r="A58" s="161">
        <v>2</v>
      </c>
      <c r="B58" s="162" t="s">
        <v>839</v>
      </c>
      <c r="C58" s="162" t="s">
        <v>238</v>
      </c>
      <c r="D58" s="163">
        <v>5</v>
      </c>
      <c r="E58" s="163">
        <v>3</v>
      </c>
      <c r="F58" s="163">
        <v>2</v>
      </c>
      <c r="G58" s="163">
        <v>0</v>
      </c>
      <c r="H58" s="163">
        <v>60</v>
      </c>
      <c r="I58" s="162" t="s">
        <v>852</v>
      </c>
      <c r="J58" s="162" t="s">
        <v>849</v>
      </c>
      <c r="K58" s="163" t="s">
        <v>209</v>
      </c>
      <c r="L58" s="162" t="s">
        <v>853</v>
      </c>
      <c r="M58" s="151"/>
      <c r="N58" s="152"/>
    </row>
    <row r="59" spans="1:14" ht="30" customHeight="1" x14ac:dyDescent="0.25">
      <c r="A59" s="164">
        <v>3</v>
      </c>
      <c r="B59" s="165" t="s">
        <v>239</v>
      </c>
      <c r="C59" s="165" t="s">
        <v>240</v>
      </c>
      <c r="D59" s="164">
        <v>5</v>
      </c>
      <c r="E59" s="166">
        <v>2</v>
      </c>
      <c r="F59" s="164">
        <v>3</v>
      </c>
      <c r="G59" s="164">
        <v>0</v>
      </c>
      <c r="H59" s="164">
        <v>40</v>
      </c>
      <c r="I59" s="165" t="s">
        <v>849</v>
      </c>
      <c r="J59" s="165" t="s">
        <v>852</v>
      </c>
      <c r="K59" s="164" t="s">
        <v>209</v>
      </c>
      <c r="L59" s="165" t="s">
        <v>854</v>
      </c>
      <c r="M59" s="35"/>
      <c r="N59" s="35"/>
    </row>
    <row r="60" spans="1:14" ht="30" customHeight="1" x14ac:dyDescent="0.25">
      <c r="A60" s="167">
        <v>4</v>
      </c>
      <c r="B60" s="168" t="s">
        <v>242</v>
      </c>
      <c r="C60" s="168" t="s">
        <v>243</v>
      </c>
      <c r="D60" s="167">
        <v>5</v>
      </c>
      <c r="E60" s="169">
        <v>2</v>
      </c>
      <c r="F60" s="167">
        <v>3</v>
      </c>
      <c r="G60" s="167">
        <v>0</v>
      </c>
      <c r="H60" s="167">
        <v>40</v>
      </c>
      <c r="I60" s="168" t="s">
        <v>850</v>
      </c>
      <c r="J60" s="168" t="s">
        <v>849</v>
      </c>
      <c r="K60" s="167" t="s">
        <v>209</v>
      </c>
      <c r="L60" s="168" t="s">
        <v>855</v>
      </c>
      <c r="M60" s="154"/>
      <c r="N60" s="154"/>
    </row>
    <row r="61" spans="1:14" ht="30" customHeight="1" x14ac:dyDescent="0.25">
      <c r="A61" s="170">
        <v>5</v>
      </c>
      <c r="B61" s="171" t="s">
        <v>245</v>
      </c>
      <c r="C61" s="171" t="s">
        <v>246</v>
      </c>
      <c r="D61" s="170">
        <v>5</v>
      </c>
      <c r="E61" s="166">
        <v>3</v>
      </c>
      <c r="F61" s="170">
        <v>2</v>
      </c>
      <c r="G61" s="170">
        <v>0</v>
      </c>
      <c r="H61" s="170">
        <v>60</v>
      </c>
      <c r="I61" s="171" t="s">
        <v>849</v>
      </c>
      <c r="J61" s="171" t="s">
        <v>850</v>
      </c>
      <c r="K61" s="170" t="s">
        <v>121</v>
      </c>
      <c r="L61" s="171" t="s">
        <v>856</v>
      </c>
      <c r="M61" s="154"/>
      <c r="N61" s="154"/>
    </row>
    <row r="62" spans="1:14" ht="30" customHeight="1" x14ac:dyDescent="0.25">
      <c r="A62" s="167">
        <v>6</v>
      </c>
      <c r="B62" s="168" t="s">
        <v>247</v>
      </c>
      <c r="C62" s="168" t="s">
        <v>248</v>
      </c>
      <c r="D62" s="167">
        <v>5</v>
      </c>
      <c r="E62" s="169">
        <v>2</v>
      </c>
      <c r="F62" s="167">
        <v>3</v>
      </c>
      <c r="G62" s="167">
        <v>0</v>
      </c>
      <c r="H62" s="167">
        <v>40</v>
      </c>
      <c r="I62" s="168" t="s">
        <v>852</v>
      </c>
      <c r="J62" s="168" t="s">
        <v>849</v>
      </c>
      <c r="K62" s="167" t="s">
        <v>209</v>
      </c>
      <c r="L62" s="168" t="s">
        <v>857</v>
      </c>
      <c r="M62" s="154"/>
      <c r="N62" s="154"/>
    </row>
    <row r="63" spans="1:14" ht="30" customHeight="1" x14ac:dyDescent="0.25">
      <c r="A63" s="170">
        <v>7</v>
      </c>
      <c r="B63" s="171" t="s">
        <v>250</v>
      </c>
      <c r="C63" s="171" t="s">
        <v>251</v>
      </c>
      <c r="D63" s="170">
        <v>5</v>
      </c>
      <c r="E63" s="166">
        <v>2</v>
      </c>
      <c r="F63" s="170">
        <v>3</v>
      </c>
      <c r="G63" s="170">
        <v>0</v>
      </c>
      <c r="H63" s="170">
        <v>40</v>
      </c>
      <c r="I63" s="171" t="s">
        <v>849</v>
      </c>
      <c r="J63" s="171" t="s">
        <v>852</v>
      </c>
      <c r="K63" s="170" t="s">
        <v>209</v>
      </c>
      <c r="L63" s="171" t="s">
        <v>858</v>
      </c>
      <c r="M63" s="154"/>
      <c r="N63" s="154"/>
    </row>
    <row r="64" spans="1:14" ht="30" customHeight="1" x14ac:dyDescent="0.25">
      <c r="A64" s="167">
        <v>8</v>
      </c>
      <c r="B64" s="168" t="s">
        <v>253</v>
      </c>
      <c r="C64" s="168" t="s">
        <v>254</v>
      </c>
      <c r="D64" s="167">
        <v>5</v>
      </c>
      <c r="E64" s="169">
        <v>2</v>
      </c>
      <c r="F64" s="167">
        <v>3</v>
      </c>
      <c r="G64" s="167">
        <v>0</v>
      </c>
      <c r="H64" s="167">
        <v>40</v>
      </c>
      <c r="I64" s="168" t="s">
        <v>852</v>
      </c>
      <c r="J64" s="168" t="s">
        <v>849</v>
      </c>
      <c r="K64" s="167" t="s">
        <v>209</v>
      </c>
      <c r="L64" s="168" t="s">
        <v>859</v>
      </c>
      <c r="M64" s="154"/>
      <c r="N64" s="154"/>
    </row>
    <row r="65" spans="1:14" ht="54" customHeight="1" x14ac:dyDescent="0.25">
      <c r="A65" s="153"/>
      <c r="B65" s="154"/>
      <c r="C65" s="154"/>
      <c r="D65" s="154"/>
      <c r="E65" s="172"/>
      <c r="F65" s="154"/>
      <c r="G65" s="154"/>
      <c r="H65" s="293" t="s">
        <v>894</v>
      </c>
      <c r="I65" s="154"/>
      <c r="J65" s="153"/>
      <c r="K65" s="154"/>
      <c r="L65" s="154"/>
      <c r="M65" s="154"/>
      <c r="N65" s="154"/>
    </row>
    <row r="66" spans="1:14" ht="18.75" customHeight="1" x14ac:dyDescent="0.25">
      <c r="A66" s="153"/>
      <c r="B66" s="154"/>
      <c r="C66" s="154"/>
      <c r="D66" s="154"/>
      <c r="E66" s="172"/>
      <c r="F66" s="154"/>
      <c r="G66" s="154"/>
      <c r="H66" s="154"/>
      <c r="I66" s="154"/>
      <c r="J66" s="153"/>
      <c r="K66" s="154"/>
      <c r="L66" s="154"/>
      <c r="M66" s="154"/>
      <c r="N66" s="154"/>
    </row>
    <row r="67" spans="1:14" ht="18.75" customHeight="1" x14ac:dyDescent="0.25">
      <c r="A67" s="153"/>
      <c r="B67" s="154"/>
      <c r="C67" s="154"/>
      <c r="D67" s="154"/>
      <c r="E67" s="172"/>
      <c r="F67" s="154"/>
      <c r="G67" s="154"/>
      <c r="H67" s="154"/>
      <c r="I67" s="154"/>
      <c r="J67" s="153"/>
      <c r="K67" s="154"/>
      <c r="L67" s="154"/>
      <c r="M67" s="154"/>
      <c r="N67" s="154"/>
    </row>
    <row r="68" spans="1:14" ht="18.75" customHeight="1" x14ac:dyDescent="0.25">
      <c r="A68" s="153"/>
      <c r="B68" s="154"/>
      <c r="C68" s="154"/>
      <c r="D68" s="154"/>
      <c r="E68" s="172"/>
      <c r="F68" s="154"/>
      <c r="G68" s="154"/>
      <c r="H68" s="154"/>
      <c r="I68" s="154"/>
      <c r="J68" s="153"/>
      <c r="K68" s="154"/>
      <c r="L68" s="154"/>
      <c r="M68" s="154"/>
      <c r="N68" s="154"/>
    </row>
    <row r="69" spans="1:14" ht="18.75" customHeight="1" x14ac:dyDescent="0.25">
      <c r="A69" s="153"/>
      <c r="B69" s="154"/>
      <c r="C69" s="154"/>
      <c r="D69" s="154"/>
      <c r="E69" s="172"/>
      <c r="F69" s="154"/>
      <c r="G69" s="154"/>
      <c r="H69" s="154"/>
      <c r="I69" s="154"/>
      <c r="J69" s="153"/>
      <c r="K69" s="154"/>
      <c r="L69" s="154"/>
      <c r="M69" s="154"/>
      <c r="N69" s="154"/>
    </row>
    <row r="70" spans="1:14" ht="18.75" customHeight="1" x14ac:dyDescent="0.25">
      <c r="A70" s="153"/>
      <c r="B70" s="154"/>
      <c r="C70" s="154"/>
      <c r="D70" s="154"/>
      <c r="E70" s="172"/>
      <c r="F70" s="154"/>
      <c r="G70" s="154"/>
      <c r="H70" s="154"/>
      <c r="I70" s="154"/>
      <c r="J70" s="153"/>
      <c r="K70" s="154"/>
      <c r="L70" s="154"/>
      <c r="M70" s="154"/>
      <c r="N70" s="154"/>
    </row>
    <row r="71" spans="1:14" ht="18.75" customHeight="1" x14ac:dyDescent="0.25">
      <c r="A71" s="153"/>
      <c r="B71" s="154"/>
      <c r="C71" s="154"/>
      <c r="D71" s="154"/>
      <c r="E71" s="172"/>
      <c r="F71" s="154"/>
      <c r="G71" s="154"/>
      <c r="H71" s="154"/>
      <c r="I71" s="154"/>
      <c r="J71" s="153"/>
      <c r="K71" s="154"/>
      <c r="L71" s="154"/>
      <c r="M71" s="154"/>
      <c r="N71" s="154"/>
    </row>
    <row r="72" spans="1:14" ht="18.75" customHeight="1" x14ac:dyDescent="0.25">
      <c r="A72" s="153"/>
      <c r="B72" s="154"/>
      <c r="C72" s="154"/>
      <c r="D72" s="154"/>
      <c r="E72" s="172"/>
      <c r="F72" s="154"/>
      <c r="G72" s="154"/>
      <c r="H72" s="154"/>
      <c r="I72" s="154"/>
      <c r="J72" s="153"/>
      <c r="K72" s="154"/>
      <c r="L72" s="154"/>
      <c r="M72" s="154"/>
      <c r="N72" s="154"/>
    </row>
    <row r="73" spans="1:14" ht="18.75" customHeight="1" x14ac:dyDescent="0.25">
      <c r="A73" s="153"/>
      <c r="B73" s="154"/>
      <c r="C73" s="154"/>
      <c r="D73" s="154"/>
      <c r="E73" s="172"/>
      <c r="F73" s="154"/>
      <c r="G73" s="154"/>
      <c r="H73" s="154"/>
      <c r="I73" s="154"/>
      <c r="J73" s="153"/>
      <c r="K73" s="154"/>
      <c r="L73" s="154"/>
      <c r="M73" s="154"/>
      <c r="N73" s="154"/>
    </row>
    <row r="74" spans="1:14" ht="18.75" customHeight="1" x14ac:dyDescent="0.25">
      <c r="A74" s="153"/>
      <c r="B74" s="154"/>
      <c r="C74" s="154"/>
      <c r="D74" s="154"/>
      <c r="E74" s="172"/>
      <c r="F74" s="154"/>
      <c r="G74" s="154"/>
      <c r="H74" s="154"/>
      <c r="I74" s="154"/>
      <c r="J74" s="153"/>
      <c r="K74" s="154"/>
      <c r="L74" s="154"/>
      <c r="M74" s="154"/>
      <c r="N74" s="154"/>
    </row>
    <row r="75" spans="1:14" ht="18.75" customHeight="1" x14ac:dyDescent="0.25">
      <c r="A75" s="153"/>
      <c r="B75" s="154"/>
      <c r="C75" s="154"/>
      <c r="D75" s="154"/>
      <c r="E75" s="172"/>
      <c r="F75" s="154"/>
      <c r="G75" s="154"/>
      <c r="H75" s="154"/>
      <c r="I75" s="154"/>
      <c r="J75" s="153"/>
      <c r="K75" s="154"/>
      <c r="L75" s="154"/>
      <c r="M75" s="154"/>
      <c r="N75" s="154"/>
    </row>
    <row r="76" spans="1:14" ht="18.75" customHeight="1" x14ac:dyDescent="0.25">
      <c r="A76" s="153"/>
      <c r="B76" s="154"/>
      <c r="C76" s="154"/>
      <c r="D76" s="154"/>
      <c r="E76" s="172"/>
      <c r="F76" s="154"/>
      <c r="G76" s="154"/>
      <c r="H76" s="154"/>
      <c r="I76" s="154"/>
      <c r="J76" s="153"/>
      <c r="K76" s="154"/>
      <c r="L76" s="154"/>
      <c r="M76" s="154"/>
      <c r="N76" s="154"/>
    </row>
    <row r="77" spans="1:14" ht="18.75" customHeight="1" x14ac:dyDescent="0.25">
      <c r="A77" s="153"/>
      <c r="B77" s="154"/>
      <c r="C77" s="154"/>
      <c r="D77" s="154"/>
      <c r="E77" s="172"/>
      <c r="F77" s="154"/>
      <c r="G77" s="154"/>
      <c r="H77" s="154"/>
      <c r="I77" s="154"/>
      <c r="J77" s="153"/>
      <c r="K77" s="154"/>
      <c r="L77" s="154"/>
      <c r="M77" s="154"/>
      <c r="N77" s="154"/>
    </row>
    <row r="78" spans="1:14" ht="18.75" customHeight="1" x14ac:dyDescent="0.25">
      <c r="A78" s="153"/>
      <c r="B78" s="154"/>
      <c r="C78" s="154"/>
      <c r="D78" s="154"/>
      <c r="E78" s="172"/>
      <c r="F78" s="154"/>
      <c r="G78" s="154"/>
      <c r="H78" s="154"/>
      <c r="I78" s="154"/>
      <c r="J78" s="153"/>
      <c r="K78" s="154"/>
      <c r="L78" s="154"/>
      <c r="M78" s="154"/>
      <c r="N78" s="154"/>
    </row>
    <row r="79" spans="1:14" ht="18.75" customHeight="1" x14ac:dyDescent="0.25">
      <c r="A79" s="153"/>
      <c r="B79" s="154"/>
      <c r="C79" s="154"/>
      <c r="D79" s="154"/>
      <c r="E79" s="172"/>
      <c r="F79" s="154"/>
      <c r="G79" s="154"/>
      <c r="H79" s="154"/>
      <c r="I79" s="154"/>
      <c r="J79" s="153"/>
      <c r="K79" s="154"/>
      <c r="L79" s="154"/>
      <c r="M79" s="154"/>
      <c r="N79" s="154"/>
    </row>
    <row r="80" spans="1:14" ht="18.75" customHeight="1" x14ac:dyDescent="0.25">
      <c r="A80" s="153"/>
      <c r="B80" s="154"/>
      <c r="C80" s="154"/>
      <c r="D80" s="154"/>
      <c r="E80" s="172"/>
      <c r="F80" s="154"/>
      <c r="G80" s="154"/>
      <c r="H80" s="154"/>
      <c r="I80" s="154"/>
      <c r="J80" s="153"/>
      <c r="K80" s="154"/>
      <c r="L80" s="154"/>
      <c r="M80" s="154"/>
      <c r="N80" s="154"/>
    </row>
    <row r="81" spans="1:14" ht="18.75" customHeight="1" x14ac:dyDescent="0.25">
      <c r="A81" s="153"/>
      <c r="B81" s="154"/>
      <c r="C81" s="154"/>
      <c r="D81" s="154"/>
      <c r="E81" s="172"/>
      <c r="F81" s="154"/>
      <c r="G81" s="154"/>
      <c r="H81" s="154"/>
      <c r="I81" s="154"/>
      <c r="J81" s="153"/>
      <c r="K81" s="154"/>
      <c r="L81" s="154"/>
      <c r="M81" s="154"/>
      <c r="N81" s="154"/>
    </row>
    <row r="82" spans="1:14" ht="18.75" customHeight="1" x14ac:dyDescent="0.25">
      <c r="A82" s="153"/>
      <c r="B82" s="154"/>
      <c r="C82" s="154"/>
      <c r="D82" s="154"/>
      <c r="E82" s="172"/>
      <c r="F82" s="154"/>
      <c r="G82" s="154"/>
      <c r="H82" s="154"/>
      <c r="I82" s="154"/>
      <c r="J82" s="153"/>
      <c r="K82" s="154"/>
      <c r="L82" s="154"/>
      <c r="M82" s="154"/>
      <c r="N82" s="154"/>
    </row>
    <row r="83" spans="1:14" ht="18.75" customHeight="1" x14ac:dyDescent="0.25">
      <c r="A83" s="153"/>
      <c r="B83" s="154"/>
      <c r="C83" s="154"/>
      <c r="D83" s="154"/>
      <c r="E83" s="172"/>
      <c r="F83" s="154"/>
      <c r="G83" s="154"/>
      <c r="H83" s="154"/>
      <c r="I83" s="154"/>
      <c r="J83" s="153"/>
      <c r="K83" s="154"/>
      <c r="L83" s="154"/>
      <c r="M83" s="154"/>
      <c r="N83" s="154"/>
    </row>
    <row r="84" spans="1:14" ht="4.5" customHeight="1" x14ac:dyDescent="0.25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</row>
    <row r="85" spans="1:14" ht="19.5" customHeight="1" x14ac:dyDescent="0.25">
      <c r="A85" s="150"/>
      <c r="B85" s="151"/>
      <c r="C85" s="151"/>
      <c r="D85" s="151"/>
      <c r="E85" s="151"/>
      <c r="F85" s="151"/>
      <c r="G85" s="151"/>
      <c r="H85" s="151"/>
      <c r="I85" s="151"/>
      <c r="J85" s="151"/>
      <c r="K85" s="151"/>
      <c r="L85" s="151"/>
      <c r="M85" s="151"/>
      <c r="N85" s="152"/>
    </row>
    <row r="86" spans="1:14" ht="18.75" customHeight="1" x14ac:dyDescent="0.25">
      <c r="A86" s="34"/>
      <c r="B86" s="35"/>
      <c r="C86" s="35"/>
      <c r="D86" s="35"/>
      <c r="E86" s="101"/>
      <c r="F86" s="35"/>
      <c r="G86" s="35"/>
      <c r="H86" s="35"/>
      <c r="I86" s="35"/>
      <c r="J86" s="34"/>
      <c r="K86" s="35"/>
      <c r="L86" s="35"/>
      <c r="M86" s="35"/>
      <c r="N86" s="35"/>
    </row>
    <row r="87" spans="1:14" ht="18.75" customHeight="1" x14ac:dyDescent="0.25">
      <c r="A87" s="156"/>
      <c r="B87" s="157"/>
      <c r="C87" s="157"/>
      <c r="D87" s="157"/>
      <c r="E87" s="173"/>
      <c r="F87" s="157"/>
      <c r="G87" s="157"/>
      <c r="H87" s="157"/>
      <c r="I87" s="157"/>
      <c r="J87" s="156"/>
      <c r="K87" s="157"/>
      <c r="L87" s="157"/>
      <c r="M87" s="157"/>
      <c r="N87" s="157"/>
    </row>
    <row r="88" spans="1:14" ht="18.75" customHeight="1" x14ac:dyDescent="0.25">
      <c r="A88" s="156"/>
      <c r="B88" s="157"/>
      <c r="C88" s="157"/>
      <c r="D88" s="157"/>
      <c r="E88" s="173"/>
      <c r="F88" s="157"/>
      <c r="G88" s="157"/>
      <c r="H88" s="157"/>
      <c r="I88" s="157"/>
      <c r="J88" s="156"/>
      <c r="K88" s="157"/>
      <c r="L88" s="157"/>
      <c r="M88" s="157"/>
      <c r="N88" s="157"/>
    </row>
    <row r="89" spans="1:14" ht="18.75" customHeight="1" x14ac:dyDescent="0.25">
      <c r="A89" s="156"/>
      <c r="B89" s="157"/>
      <c r="C89" s="157"/>
      <c r="D89" s="157"/>
      <c r="E89" s="173"/>
      <c r="F89" s="157"/>
      <c r="G89" s="157"/>
      <c r="H89" s="157"/>
      <c r="I89" s="157"/>
      <c r="J89" s="156"/>
      <c r="K89" s="157"/>
      <c r="L89" s="157"/>
      <c r="M89" s="157"/>
      <c r="N89" s="157"/>
    </row>
    <row r="90" spans="1:14" ht="18.75" customHeight="1" x14ac:dyDescent="0.25">
      <c r="A90" s="156"/>
      <c r="B90" s="157"/>
      <c r="C90" s="157"/>
      <c r="D90" s="157"/>
      <c r="E90" s="173"/>
      <c r="F90" s="157"/>
      <c r="G90" s="157"/>
      <c r="H90" s="157"/>
      <c r="I90" s="157"/>
      <c r="J90" s="156"/>
      <c r="K90" s="157"/>
      <c r="L90" s="157"/>
      <c r="M90" s="157"/>
      <c r="N90" s="157"/>
    </row>
    <row r="91" spans="1:14" ht="18.75" customHeight="1" x14ac:dyDescent="0.25">
      <c r="A91" s="156"/>
      <c r="B91" s="157"/>
      <c r="C91" s="157"/>
      <c r="D91" s="157"/>
      <c r="E91" s="173"/>
      <c r="F91" s="157"/>
      <c r="G91" s="157"/>
      <c r="H91" s="157"/>
      <c r="I91" s="157"/>
      <c r="J91" s="156"/>
      <c r="K91" s="157"/>
      <c r="L91" s="157"/>
      <c r="M91" s="157"/>
      <c r="N91" s="157"/>
    </row>
    <row r="92" spans="1:14" ht="18.75" customHeight="1" x14ac:dyDescent="0.25">
      <c r="A92" s="156"/>
      <c r="B92" s="157"/>
      <c r="C92" s="157"/>
      <c r="D92" s="157"/>
      <c r="E92" s="173"/>
      <c r="F92" s="157"/>
      <c r="G92" s="157"/>
      <c r="H92" s="157"/>
      <c r="I92" s="157"/>
      <c r="J92" s="156"/>
      <c r="K92" s="157"/>
      <c r="L92" s="157"/>
      <c r="M92" s="157"/>
      <c r="N92" s="157"/>
    </row>
    <row r="93" spans="1:14" ht="18.75" customHeight="1" x14ac:dyDescent="0.25">
      <c r="A93" s="156"/>
      <c r="B93" s="157"/>
      <c r="C93" s="157"/>
      <c r="D93" s="157"/>
      <c r="E93" s="173"/>
      <c r="F93" s="157"/>
      <c r="G93" s="157"/>
      <c r="H93" s="157"/>
      <c r="I93" s="157"/>
      <c r="J93" s="156"/>
      <c r="K93" s="157"/>
      <c r="L93" s="157"/>
      <c r="M93" s="157"/>
      <c r="N93" s="157"/>
    </row>
    <row r="94" spans="1:14" ht="18.75" customHeight="1" x14ac:dyDescent="0.25">
      <c r="A94" s="156"/>
      <c r="B94" s="157"/>
      <c r="C94" s="157"/>
      <c r="D94" s="157"/>
      <c r="E94" s="173"/>
      <c r="F94" s="157"/>
      <c r="G94" s="157"/>
      <c r="H94" s="157"/>
      <c r="I94" s="157"/>
      <c r="J94" s="156"/>
      <c r="K94" s="157"/>
      <c r="L94" s="157"/>
      <c r="M94" s="157"/>
      <c r="N94" s="157"/>
    </row>
    <row r="95" spans="1:14" ht="18.75" customHeight="1" x14ac:dyDescent="0.25">
      <c r="A95" s="156"/>
      <c r="B95" s="157"/>
      <c r="C95" s="157"/>
      <c r="D95" s="157"/>
      <c r="E95" s="173"/>
      <c r="F95" s="157"/>
      <c r="G95" s="157"/>
      <c r="H95" s="157"/>
      <c r="I95" s="157"/>
      <c r="J95" s="156"/>
      <c r="K95" s="157"/>
      <c r="L95" s="157"/>
      <c r="M95" s="157"/>
      <c r="N95" s="157"/>
    </row>
    <row r="96" spans="1:14" ht="18.75" customHeight="1" x14ac:dyDescent="0.25">
      <c r="A96" s="156"/>
      <c r="B96" s="157"/>
      <c r="C96" s="157"/>
      <c r="D96" s="157"/>
      <c r="E96" s="173"/>
      <c r="F96" s="157"/>
      <c r="G96" s="157"/>
      <c r="H96" s="157"/>
      <c r="I96" s="157"/>
      <c r="J96" s="156"/>
      <c r="K96" s="157"/>
      <c r="L96" s="157"/>
      <c r="M96" s="157"/>
      <c r="N96" s="157"/>
    </row>
    <row r="97" spans="1:14" ht="18.75" customHeight="1" x14ac:dyDescent="0.25">
      <c r="A97" s="156"/>
      <c r="B97" s="157"/>
      <c r="C97" s="157"/>
      <c r="D97" s="157"/>
      <c r="E97" s="173"/>
      <c r="F97" s="157"/>
      <c r="G97" s="157"/>
      <c r="H97" s="157"/>
      <c r="I97" s="157"/>
      <c r="J97" s="156"/>
      <c r="K97" s="157"/>
      <c r="L97" s="157"/>
      <c r="M97" s="157"/>
      <c r="N97" s="157"/>
    </row>
    <row r="98" spans="1:14" ht="18.75" customHeight="1" x14ac:dyDescent="0.25">
      <c r="A98" s="156"/>
      <c r="B98" s="157"/>
      <c r="C98" s="157"/>
      <c r="D98" s="157"/>
      <c r="E98" s="173"/>
      <c r="F98" s="157"/>
      <c r="G98" s="157"/>
      <c r="H98" s="157"/>
      <c r="I98" s="157"/>
      <c r="J98" s="156"/>
      <c r="K98" s="157"/>
      <c r="L98" s="157"/>
      <c r="M98" s="157"/>
      <c r="N98" s="157"/>
    </row>
    <row r="99" spans="1:14" ht="18.75" customHeight="1" x14ac:dyDescent="0.25">
      <c r="A99" s="156"/>
      <c r="B99" s="157"/>
      <c r="C99" s="157"/>
      <c r="D99" s="157"/>
      <c r="E99" s="173"/>
      <c r="F99" s="157"/>
      <c r="G99" s="157"/>
      <c r="H99" s="157"/>
      <c r="I99" s="157"/>
      <c r="J99" s="156"/>
      <c r="K99" s="157"/>
      <c r="L99" s="157"/>
      <c r="M99" s="157"/>
      <c r="N99" s="157"/>
    </row>
    <row r="100" spans="1:14" ht="18.75" customHeight="1" x14ac:dyDescent="0.25">
      <c r="A100" s="156"/>
      <c r="B100" s="157"/>
      <c r="C100" s="157"/>
      <c r="D100" s="157"/>
      <c r="E100" s="173"/>
      <c r="F100" s="157"/>
      <c r="G100" s="157"/>
      <c r="H100" s="157"/>
      <c r="I100" s="157"/>
      <c r="J100" s="156"/>
      <c r="K100" s="157"/>
      <c r="L100" s="157"/>
      <c r="M100" s="157"/>
      <c r="N100" s="157"/>
    </row>
    <row r="101" spans="1:14" ht="18.75" customHeight="1" x14ac:dyDescent="0.25">
      <c r="A101" s="156"/>
      <c r="B101" s="157"/>
      <c r="C101" s="157"/>
      <c r="D101" s="157"/>
      <c r="E101" s="173"/>
      <c r="F101" s="157"/>
      <c r="G101" s="157"/>
      <c r="H101" s="157"/>
      <c r="I101" s="157"/>
      <c r="J101" s="156"/>
      <c r="K101" s="157"/>
      <c r="L101" s="157"/>
      <c r="M101" s="157"/>
      <c r="N101" s="157"/>
    </row>
    <row r="102" spans="1:14" ht="18.75" customHeight="1" x14ac:dyDescent="0.25">
      <c r="A102" s="156"/>
      <c r="B102" s="157"/>
      <c r="C102" s="157"/>
      <c r="D102" s="157"/>
      <c r="E102" s="173"/>
      <c r="F102" s="157"/>
      <c r="G102" s="157"/>
      <c r="H102" s="157"/>
      <c r="I102" s="157"/>
      <c r="J102" s="156"/>
      <c r="K102" s="157"/>
      <c r="L102" s="157"/>
      <c r="M102" s="157"/>
      <c r="N102" s="157"/>
    </row>
    <row r="103" spans="1:14" ht="18.75" customHeight="1" x14ac:dyDescent="0.25">
      <c r="A103" s="156"/>
      <c r="B103" s="157"/>
      <c r="C103" s="157"/>
      <c r="D103" s="157"/>
      <c r="E103" s="173"/>
      <c r="F103" s="157"/>
      <c r="G103" s="157"/>
      <c r="H103" s="157"/>
      <c r="I103" s="157"/>
      <c r="J103" s="156"/>
      <c r="K103" s="157"/>
      <c r="L103" s="157"/>
      <c r="M103" s="157"/>
      <c r="N103" s="157"/>
    </row>
    <row r="104" spans="1:14" ht="18.75" customHeight="1" x14ac:dyDescent="0.25">
      <c r="A104" s="156"/>
      <c r="B104" s="157"/>
      <c r="C104" s="157"/>
      <c r="D104" s="157"/>
      <c r="E104" s="173"/>
      <c r="F104" s="157"/>
      <c r="G104" s="157"/>
      <c r="H104" s="157"/>
      <c r="I104" s="157"/>
      <c r="J104" s="156"/>
      <c r="K104" s="157"/>
      <c r="L104" s="157"/>
      <c r="M104" s="157"/>
      <c r="N104" s="157"/>
    </row>
    <row r="105" spans="1:14" ht="18.75" customHeight="1" x14ac:dyDescent="0.25">
      <c r="A105" s="156"/>
      <c r="B105" s="157"/>
      <c r="C105" s="157"/>
      <c r="D105" s="157"/>
      <c r="E105" s="173"/>
      <c r="F105" s="157"/>
      <c r="G105" s="157"/>
      <c r="H105" s="157"/>
      <c r="I105" s="157"/>
      <c r="J105" s="156"/>
      <c r="K105" s="157"/>
      <c r="L105" s="157"/>
      <c r="M105" s="157"/>
      <c r="N105" s="157"/>
    </row>
    <row r="106" spans="1:14" ht="18.75" customHeight="1" x14ac:dyDescent="0.25">
      <c r="A106" s="156"/>
      <c r="B106" s="157"/>
      <c r="C106" s="157"/>
      <c r="D106" s="157"/>
      <c r="E106" s="173"/>
      <c r="F106" s="157"/>
      <c r="G106" s="157"/>
      <c r="H106" s="157"/>
      <c r="I106" s="157"/>
      <c r="J106" s="156"/>
      <c r="K106" s="157"/>
      <c r="L106" s="157"/>
      <c r="M106" s="157"/>
      <c r="N106" s="157"/>
    </row>
    <row r="107" spans="1:14" ht="18.75" customHeight="1" x14ac:dyDescent="0.25">
      <c r="A107" s="156"/>
      <c r="B107" s="157"/>
      <c r="C107" s="157"/>
      <c r="D107" s="157"/>
      <c r="E107" s="173"/>
      <c r="F107" s="157"/>
      <c r="G107" s="157"/>
      <c r="H107" s="157"/>
      <c r="I107" s="157"/>
      <c r="J107" s="156"/>
      <c r="K107" s="157"/>
      <c r="L107" s="157"/>
      <c r="M107" s="157"/>
      <c r="N107" s="157"/>
    </row>
    <row r="108" spans="1:14" ht="18.75" customHeight="1" x14ac:dyDescent="0.25">
      <c r="A108" s="156"/>
      <c r="B108" s="157"/>
      <c r="C108" s="157"/>
      <c r="D108" s="157"/>
      <c r="E108" s="173"/>
      <c r="F108" s="157"/>
      <c r="G108" s="157"/>
      <c r="H108" s="157"/>
      <c r="I108" s="157"/>
      <c r="J108" s="156"/>
      <c r="K108" s="157"/>
      <c r="L108" s="157"/>
      <c r="M108" s="157"/>
      <c r="N108" s="157"/>
    </row>
    <row r="109" spans="1:14" ht="18.75" customHeight="1" x14ac:dyDescent="0.25">
      <c r="A109" s="156"/>
      <c r="B109" s="157"/>
      <c r="C109" s="157"/>
      <c r="D109" s="157"/>
      <c r="E109" s="173"/>
      <c r="F109" s="157"/>
      <c r="G109" s="157"/>
      <c r="H109" s="157"/>
      <c r="I109" s="157"/>
      <c r="J109" s="156"/>
      <c r="K109" s="157"/>
      <c r="L109" s="157"/>
      <c r="M109" s="157"/>
      <c r="N109" s="157"/>
    </row>
    <row r="110" spans="1:14" ht="18.75" customHeight="1" x14ac:dyDescent="0.25">
      <c r="A110" s="156"/>
      <c r="B110" s="157"/>
      <c r="C110" s="157"/>
      <c r="D110" s="157"/>
      <c r="E110" s="173"/>
      <c r="F110" s="157"/>
      <c r="G110" s="157"/>
      <c r="H110" s="157"/>
      <c r="I110" s="157"/>
      <c r="J110" s="156"/>
      <c r="K110" s="157"/>
      <c r="L110" s="157"/>
      <c r="M110" s="157"/>
      <c r="N110" s="157"/>
    </row>
    <row r="111" spans="1:14" ht="4.5" customHeight="1" x14ac:dyDescent="0.25">
      <c r="A111" s="105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</row>
    <row r="112" spans="1:14" ht="19.5" customHeight="1" x14ac:dyDescent="0.25">
      <c r="A112" s="150"/>
      <c r="B112" s="151"/>
      <c r="C112" s="151"/>
      <c r="D112" s="151"/>
      <c r="E112" s="151"/>
      <c r="F112" s="151"/>
      <c r="G112" s="151"/>
      <c r="H112" s="151"/>
      <c r="I112" s="151"/>
      <c r="J112" s="151"/>
      <c r="K112" s="151"/>
      <c r="L112" s="151"/>
      <c r="M112" s="151"/>
      <c r="N112" s="152"/>
    </row>
    <row r="113" spans="1:14" ht="18.75" customHeight="1" x14ac:dyDescent="0.25">
      <c r="A113" s="34"/>
      <c r="B113" s="35"/>
      <c r="C113" s="35"/>
      <c r="D113" s="35"/>
      <c r="E113" s="101"/>
      <c r="F113" s="35"/>
      <c r="G113" s="35"/>
      <c r="H113" s="35"/>
      <c r="I113" s="35"/>
      <c r="J113" s="34"/>
      <c r="K113" s="35"/>
      <c r="L113" s="35"/>
      <c r="M113" s="35"/>
      <c r="N113" s="35"/>
    </row>
    <row r="114" spans="1:14" ht="18.75" customHeight="1" x14ac:dyDescent="0.25">
      <c r="A114" s="153"/>
      <c r="B114" s="154"/>
      <c r="C114" s="154"/>
      <c r="D114" s="154"/>
      <c r="E114" s="172"/>
      <c r="F114" s="154"/>
      <c r="G114" s="154"/>
      <c r="H114" s="154"/>
      <c r="I114" s="154"/>
      <c r="J114" s="153"/>
      <c r="K114" s="154"/>
      <c r="L114" s="154"/>
      <c r="M114" s="154"/>
      <c r="N114" s="154"/>
    </row>
    <row r="115" spans="1:14" ht="18.75" customHeight="1" x14ac:dyDescent="0.25">
      <c r="A115" s="153"/>
      <c r="B115" s="154"/>
      <c r="C115" s="154"/>
      <c r="D115" s="154"/>
      <c r="E115" s="172"/>
      <c r="F115" s="154"/>
      <c r="G115" s="154"/>
      <c r="H115" s="154"/>
      <c r="I115" s="154"/>
      <c r="J115" s="153"/>
      <c r="K115" s="154"/>
      <c r="L115" s="154"/>
      <c r="M115" s="154"/>
      <c r="N115" s="154"/>
    </row>
    <row r="116" spans="1:14" ht="18.75" customHeight="1" x14ac:dyDescent="0.25">
      <c r="A116" s="153"/>
      <c r="B116" s="154"/>
      <c r="C116" s="154"/>
      <c r="D116" s="154"/>
      <c r="E116" s="172"/>
      <c r="F116" s="154"/>
      <c r="G116" s="154"/>
      <c r="H116" s="154"/>
      <c r="I116" s="154"/>
      <c r="J116" s="153"/>
      <c r="K116" s="154"/>
      <c r="L116" s="154"/>
      <c r="M116" s="154"/>
      <c r="N116" s="154"/>
    </row>
    <row r="117" spans="1:14" ht="18.75" customHeight="1" x14ac:dyDescent="0.25">
      <c r="A117" s="153"/>
      <c r="B117" s="154"/>
      <c r="C117" s="154"/>
      <c r="D117" s="154"/>
      <c r="E117" s="172"/>
      <c r="F117" s="154"/>
      <c r="G117" s="154"/>
      <c r="H117" s="154"/>
      <c r="I117" s="154"/>
      <c r="J117" s="153"/>
      <c r="K117" s="154"/>
      <c r="L117" s="154"/>
      <c r="M117" s="154"/>
      <c r="N117" s="154"/>
    </row>
    <row r="118" spans="1:14" ht="18.75" customHeight="1" x14ac:dyDescent="0.25">
      <c r="A118" s="153"/>
      <c r="B118" s="154"/>
      <c r="C118" s="154"/>
      <c r="D118" s="154"/>
      <c r="E118" s="172"/>
      <c r="F118" s="154"/>
      <c r="G118" s="154"/>
      <c r="H118" s="154"/>
      <c r="I118" s="154"/>
      <c r="J118" s="153"/>
      <c r="K118" s="154"/>
      <c r="L118" s="154"/>
      <c r="M118" s="154"/>
      <c r="N118" s="154"/>
    </row>
    <row r="119" spans="1:14" ht="18.75" customHeight="1" x14ac:dyDescent="0.25">
      <c r="A119" s="153"/>
      <c r="B119" s="154"/>
      <c r="C119" s="154"/>
      <c r="D119" s="154"/>
      <c r="E119" s="172"/>
      <c r="F119" s="154"/>
      <c r="G119" s="154"/>
      <c r="H119" s="154"/>
      <c r="I119" s="154"/>
      <c r="J119" s="153"/>
      <c r="K119" s="154"/>
      <c r="L119" s="154"/>
      <c r="M119" s="154"/>
      <c r="N119" s="154"/>
    </row>
    <row r="120" spans="1:14" ht="18.75" customHeight="1" x14ac:dyDescent="0.25">
      <c r="A120" s="153"/>
      <c r="B120" s="154"/>
      <c r="C120" s="154"/>
      <c r="D120" s="154"/>
      <c r="E120" s="172"/>
      <c r="F120" s="154"/>
      <c r="G120" s="154"/>
      <c r="H120" s="154"/>
      <c r="I120" s="154"/>
      <c r="J120" s="153"/>
      <c r="K120" s="154"/>
      <c r="L120" s="154"/>
      <c r="M120" s="154"/>
      <c r="N120" s="154"/>
    </row>
    <row r="121" spans="1:14" ht="18.75" customHeight="1" x14ac:dyDescent="0.25">
      <c r="A121" s="153"/>
      <c r="B121" s="154"/>
      <c r="C121" s="154"/>
      <c r="D121" s="154"/>
      <c r="E121" s="172"/>
      <c r="F121" s="154"/>
      <c r="G121" s="154"/>
      <c r="H121" s="154"/>
      <c r="I121" s="154"/>
      <c r="J121" s="153"/>
      <c r="K121" s="154"/>
      <c r="L121" s="154"/>
      <c r="M121" s="154"/>
      <c r="N121" s="154"/>
    </row>
    <row r="122" spans="1:14" ht="18.75" customHeight="1" x14ac:dyDescent="0.25">
      <c r="A122" s="153"/>
      <c r="B122" s="154"/>
      <c r="C122" s="154"/>
      <c r="D122" s="154"/>
      <c r="E122" s="172"/>
      <c r="F122" s="154"/>
      <c r="G122" s="154"/>
      <c r="H122" s="154"/>
      <c r="I122" s="154"/>
      <c r="J122" s="153"/>
      <c r="K122" s="154"/>
      <c r="L122" s="154"/>
      <c r="M122" s="154"/>
      <c r="N122" s="154"/>
    </row>
    <row r="123" spans="1:14" ht="18.75" customHeight="1" x14ac:dyDescent="0.25">
      <c r="A123" s="153"/>
      <c r="B123" s="154"/>
      <c r="C123" s="154"/>
      <c r="D123" s="154"/>
      <c r="E123" s="172"/>
      <c r="F123" s="154"/>
      <c r="G123" s="154"/>
      <c r="H123" s="154"/>
      <c r="I123" s="154"/>
      <c r="J123" s="153"/>
      <c r="K123" s="154"/>
      <c r="L123" s="154"/>
      <c r="M123" s="154"/>
      <c r="N123" s="154"/>
    </row>
    <row r="124" spans="1:14" ht="18.75" customHeight="1" x14ac:dyDescent="0.25">
      <c r="A124" s="153"/>
      <c r="B124" s="154"/>
      <c r="C124" s="154"/>
      <c r="D124" s="154"/>
      <c r="E124" s="172"/>
      <c r="F124" s="154"/>
      <c r="G124" s="154"/>
      <c r="H124" s="154"/>
      <c r="I124" s="154"/>
      <c r="J124" s="153"/>
      <c r="K124" s="154"/>
      <c r="L124" s="154"/>
      <c r="M124" s="154"/>
      <c r="N124" s="154"/>
    </row>
    <row r="125" spans="1:14" ht="18.75" customHeight="1" x14ac:dyDescent="0.25">
      <c r="A125" s="153"/>
      <c r="B125" s="154"/>
      <c r="C125" s="154"/>
      <c r="D125" s="154"/>
      <c r="E125" s="172"/>
      <c r="F125" s="154"/>
      <c r="G125" s="154"/>
      <c r="H125" s="154"/>
      <c r="I125" s="154"/>
      <c r="J125" s="153"/>
      <c r="K125" s="154"/>
      <c r="L125" s="154"/>
      <c r="M125" s="154"/>
      <c r="N125" s="154"/>
    </row>
    <row r="126" spans="1:14" ht="18.75" customHeight="1" x14ac:dyDescent="0.25">
      <c r="A126" s="153"/>
      <c r="B126" s="154"/>
      <c r="C126" s="154"/>
      <c r="D126" s="154"/>
      <c r="E126" s="172"/>
      <c r="F126" s="154"/>
      <c r="G126" s="154"/>
      <c r="H126" s="154"/>
      <c r="I126" s="154"/>
      <c r="J126" s="153"/>
      <c r="K126" s="154"/>
      <c r="L126" s="154"/>
      <c r="M126" s="154"/>
      <c r="N126" s="154"/>
    </row>
    <row r="127" spans="1:14" ht="18.75" customHeight="1" x14ac:dyDescent="0.25">
      <c r="A127" s="153"/>
      <c r="B127" s="154"/>
      <c r="C127" s="154"/>
      <c r="D127" s="154"/>
      <c r="E127" s="172"/>
      <c r="F127" s="154"/>
      <c r="G127" s="154"/>
      <c r="H127" s="154"/>
      <c r="I127" s="154"/>
      <c r="J127" s="153"/>
      <c r="K127" s="154"/>
      <c r="L127" s="154"/>
      <c r="M127" s="154"/>
      <c r="N127" s="154"/>
    </row>
    <row r="128" spans="1:14" ht="18.75" customHeight="1" x14ac:dyDescent="0.25">
      <c r="A128" s="153"/>
      <c r="B128" s="154"/>
      <c r="C128" s="154"/>
      <c r="D128" s="154"/>
      <c r="E128" s="172"/>
      <c r="F128" s="154"/>
      <c r="G128" s="154"/>
      <c r="H128" s="154"/>
      <c r="I128" s="154"/>
      <c r="J128" s="153"/>
      <c r="K128" s="154"/>
      <c r="L128" s="154"/>
      <c r="M128" s="154"/>
      <c r="N128" s="154"/>
    </row>
    <row r="129" spans="1:14" ht="18.75" customHeight="1" x14ac:dyDescent="0.25">
      <c r="A129" s="153"/>
      <c r="B129" s="154"/>
      <c r="C129" s="154"/>
      <c r="D129" s="154"/>
      <c r="E129" s="172"/>
      <c r="F129" s="154"/>
      <c r="G129" s="154"/>
      <c r="H129" s="154"/>
      <c r="I129" s="154"/>
      <c r="J129" s="153"/>
      <c r="K129" s="154"/>
      <c r="L129" s="154"/>
      <c r="M129" s="154"/>
      <c r="N129" s="154"/>
    </row>
    <row r="130" spans="1:14" ht="18.75" customHeight="1" x14ac:dyDescent="0.25">
      <c r="A130" s="153"/>
      <c r="B130" s="154"/>
      <c r="C130" s="154"/>
      <c r="D130" s="154"/>
      <c r="E130" s="172"/>
      <c r="F130" s="154"/>
      <c r="G130" s="154"/>
      <c r="H130" s="154"/>
      <c r="I130" s="154"/>
      <c r="J130" s="153"/>
      <c r="K130" s="154"/>
      <c r="L130" s="154"/>
      <c r="M130" s="154"/>
      <c r="N130" s="154"/>
    </row>
    <row r="131" spans="1:14" ht="18.75" customHeight="1" x14ac:dyDescent="0.25">
      <c r="A131" s="153"/>
      <c r="B131" s="154"/>
      <c r="C131" s="154"/>
      <c r="D131" s="154"/>
      <c r="E131" s="172"/>
      <c r="F131" s="154"/>
      <c r="G131" s="154"/>
      <c r="H131" s="154"/>
      <c r="I131" s="154"/>
      <c r="J131" s="153"/>
      <c r="K131" s="154"/>
      <c r="L131" s="154"/>
      <c r="M131" s="154"/>
      <c r="N131" s="154"/>
    </row>
    <row r="132" spans="1:14" ht="18.75" customHeight="1" x14ac:dyDescent="0.25">
      <c r="A132" s="153"/>
      <c r="B132" s="154"/>
      <c r="C132" s="154"/>
      <c r="D132" s="154"/>
      <c r="E132" s="172"/>
      <c r="F132" s="154"/>
      <c r="G132" s="154"/>
      <c r="H132" s="154"/>
      <c r="I132" s="154"/>
      <c r="J132" s="153"/>
      <c r="K132" s="154"/>
      <c r="L132" s="154"/>
      <c r="M132" s="154"/>
      <c r="N132" s="154"/>
    </row>
    <row r="133" spans="1:14" ht="18.75" customHeight="1" x14ac:dyDescent="0.25">
      <c r="A133" s="153"/>
      <c r="B133" s="154"/>
      <c r="C133" s="154"/>
      <c r="D133" s="154"/>
      <c r="E133" s="172"/>
      <c r="F133" s="154"/>
      <c r="G133" s="154"/>
      <c r="H133" s="154"/>
      <c r="I133" s="154"/>
      <c r="J133" s="153"/>
      <c r="K133" s="154"/>
      <c r="L133" s="154"/>
      <c r="M133" s="154"/>
      <c r="N133" s="154"/>
    </row>
    <row r="134" spans="1:14" ht="18.75" customHeight="1" x14ac:dyDescent="0.25">
      <c r="A134" s="153"/>
      <c r="B134" s="154"/>
      <c r="C134" s="154"/>
      <c r="D134" s="154"/>
      <c r="E134" s="172"/>
      <c r="F134" s="154"/>
      <c r="G134" s="154"/>
      <c r="H134" s="154"/>
      <c r="I134" s="154"/>
      <c r="J134" s="153"/>
      <c r="K134" s="154"/>
      <c r="L134" s="154"/>
      <c r="M134" s="154"/>
      <c r="N134" s="154"/>
    </row>
    <row r="135" spans="1:14" ht="18.75" customHeight="1" x14ac:dyDescent="0.25">
      <c r="A135" s="153"/>
      <c r="B135" s="154"/>
      <c r="C135" s="154"/>
      <c r="D135" s="154"/>
      <c r="E135" s="172"/>
      <c r="F135" s="154"/>
      <c r="G135" s="154"/>
      <c r="H135" s="154"/>
      <c r="I135" s="154"/>
      <c r="J135" s="153"/>
      <c r="K135" s="154"/>
      <c r="L135" s="154"/>
      <c r="M135" s="154"/>
      <c r="N135" s="154"/>
    </row>
    <row r="136" spans="1:14" ht="18.75" customHeight="1" x14ac:dyDescent="0.25">
      <c r="A136" s="153"/>
      <c r="B136" s="154"/>
      <c r="C136" s="154"/>
      <c r="D136" s="154"/>
      <c r="E136" s="172"/>
      <c r="F136" s="154"/>
      <c r="G136" s="154"/>
      <c r="H136" s="154"/>
      <c r="I136" s="154"/>
      <c r="J136" s="153"/>
      <c r="K136" s="154"/>
      <c r="L136" s="154"/>
      <c r="M136" s="154"/>
      <c r="N136" s="154"/>
    </row>
    <row r="137" spans="1:14" ht="18.75" customHeight="1" x14ac:dyDescent="0.25">
      <c r="A137" s="153"/>
      <c r="B137" s="154"/>
      <c r="C137" s="154"/>
      <c r="D137" s="154"/>
      <c r="E137" s="172"/>
      <c r="F137" s="154"/>
      <c r="G137" s="154"/>
      <c r="H137" s="154"/>
      <c r="I137" s="154"/>
      <c r="J137" s="153"/>
      <c r="K137" s="154"/>
      <c r="L137" s="154"/>
      <c r="M137" s="154"/>
      <c r="N137" s="154"/>
    </row>
    <row r="138" spans="1:14" ht="4.5" customHeight="1" x14ac:dyDescent="0.25">
      <c r="A138" s="105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</row>
    <row r="139" spans="1:14" ht="19.5" customHeight="1" x14ac:dyDescent="0.25">
      <c r="A139" s="150"/>
      <c r="B139" s="151"/>
      <c r="C139" s="151"/>
      <c r="D139" s="151"/>
      <c r="E139" s="151"/>
      <c r="F139" s="151"/>
      <c r="G139" s="151"/>
      <c r="H139" s="151"/>
      <c r="I139" s="151"/>
      <c r="J139" s="151"/>
      <c r="K139" s="151"/>
      <c r="L139" s="151"/>
      <c r="M139" s="151"/>
      <c r="N139" s="152"/>
    </row>
    <row r="140" spans="1:14" ht="18.75" customHeight="1" x14ac:dyDescent="0.25">
      <c r="A140" s="34"/>
      <c r="B140" s="35"/>
      <c r="C140" s="35"/>
      <c r="D140" s="35"/>
      <c r="E140" s="109"/>
      <c r="F140" s="35"/>
      <c r="G140" s="35"/>
      <c r="H140" s="35"/>
      <c r="I140" s="35"/>
      <c r="J140" s="34"/>
      <c r="K140" s="35"/>
      <c r="L140" s="35"/>
      <c r="M140" s="35"/>
      <c r="N140" s="35"/>
    </row>
    <row r="141" spans="1:14" ht="18.75" customHeight="1" x14ac:dyDescent="0.25">
      <c r="A141" s="156"/>
      <c r="B141" s="157"/>
      <c r="C141" s="157"/>
      <c r="D141" s="157"/>
      <c r="E141" s="158"/>
      <c r="F141" s="157"/>
      <c r="G141" s="157"/>
      <c r="H141" s="157"/>
      <c r="I141" s="157"/>
      <c r="J141" s="156"/>
      <c r="K141" s="157"/>
      <c r="L141" s="157"/>
      <c r="M141" s="157"/>
      <c r="N141" s="157"/>
    </row>
    <row r="142" spans="1:14" ht="18.75" customHeight="1" x14ac:dyDescent="0.25">
      <c r="A142" s="156"/>
      <c r="B142" s="157"/>
      <c r="C142" s="157"/>
      <c r="D142" s="157"/>
      <c r="E142" s="158"/>
      <c r="F142" s="157"/>
      <c r="G142" s="157"/>
      <c r="H142" s="157"/>
      <c r="I142" s="157"/>
      <c r="J142" s="156"/>
      <c r="K142" s="157"/>
      <c r="L142" s="157"/>
      <c r="M142" s="157"/>
      <c r="N142" s="157"/>
    </row>
    <row r="143" spans="1:14" ht="18.75" customHeight="1" x14ac:dyDescent="0.25">
      <c r="A143" s="156"/>
      <c r="B143" s="157"/>
      <c r="C143" s="157"/>
      <c r="D143" s="157"/>
      <c r="E143" s="158"/>
      <c r="F143" s="157"/>
      <c r="G143" s="157"/>
      <c r="H143" s="157"/>
      <c r="I143" s="157"/>
      <c r="J143" s="156"/>
      <c r="K143" s="157"/>
      <c r="L143" s="157"/>
      <c r="M143" s="157"/>
      <c r="N143" s="157"/>
    </row>
    <row r="144" spans="1:14" ht="18.75" customHeight="1" x14ac:dyDescent="0.25">
      <c r="A144" s="156"/>
      <c r="B144" s="157"/>
      <c r="C144" s="157"/>
      <c r="D144" s="157"/>
      <c r="E144" s="158"/>
      <c r="F144" s="157"/>
      <c r="G144" s="157"/>
      <c r="H144" s="157"/>
      <c r="I144" s="157"/>
      <c r="J144" s="156"/>
      <c r="K144" s="157"/>
      <c r="L144" s="157"/>
      <c r="M144" s="157"/>
      <c r="N144" s="157"/>
    </row>
    <row r="145" spans="1:14" ht="18.75" customHeight="1" x14ac:dyDescent="0.25">
      <c r="A145" s="156"/>
      <c r="B145" s="157"/>
      <c r="C145" s="157"/>
      <c r="D145" s="157"/>
      <c r="E145" s="158"/>
      <c r="F145" s="157"/>
      <c r="G145" s="157"/>
      <c r="H145" s="157"/>
      <c r="I145" s="157"/>
      <c r="J145" s="156"/>
      <c r="K145" s="157"/>
      <c r="L145" s="157"/>
      <c r="M145" s="157"/>
      <c r="N145" s="157"/>
    </row>
    <row r="146" spans="1:14" ht="18.75" customHeight="1" x14ac:dyDescent="0.25">
      <c r="A146" s="156"/>
      <c r="B146" s="157"/>
      <c r="C146" s="157"/>
      <c r="D146" s="157"/>
      <c r="E146" s="158"/>
      <c r="F146" s="157"/>
      <c r="G146" s="157"/>
      <c r="H146" s="157"/>
      <c r="I146" s="157"/>
      <c r="J146" s="156"/>
      <c r="K146" s="157"/>
      <c r="L146" s="157"/>
      <c r="M146" s="157"/>
      <c r="N146" s="157"/>
    </row>
    <row r="147" spans="1:14" ht="18.75" customHeight="1" x14ac:dyDescent="0.25">
      <c r="A147" s="156"/>
      <c r="B147" s="157"/>
      <c r="C147" s="157"/>
      <c r="D147" s="157"/>
      <c r="E147" s="158"/>
      <c r="F147" s="157"/>
      <c r="G147" s="157"/>
      <c r="H147" s="157"/>
      <c r="I147" s="157"/>
      <c r="J147" s="156"/>
      <c r="K147" s="157"/>
      <c r="L147" s="157"/>
      <c r="M147" s="157"/>
      <c r="N147" s="157"/>
    </row>
    <row r="148" spans="1:14" ht="18.75" customHeight="1" x14ac:dyDescent="0.25">
      <c r="A148" s="156"/>
      <c r="B148" s="157"/>
      <c r="C148" s="157"/>
      <c r="D148" s="157"/>
      <c r="E148" s="158"/>
      <c r="F148" s="157"/>
      <c r="G148" s="157"/>
      <c r="H148" s="157"/>
      <c r="I148" s="157"/>
      <c r="J148" s="156"/>
      <c r="K148" s="157"/>
      <c r="L148" s="157"/>
      <c r="M148" s="157"/>
      <c r="N148" s="157"/>
    </row>
    <row r="149" spans="1:14" ht="18.75" customHeight="1" x14ac:dyDescent="0.25">
      <c r="A149" s="156"/>
      <c r="B149" s="157"/>
      <c r="C149" s="157"/>
      <c r="D149" s="157"/>
      <c r="E149" s="158"/>
      <c r="F149" s="157"/>
      <c r="G149" s="157"/>
      <c r="H149" s="157"/>
      <c r="I149" s="157"/>
      <c r="J149" s="156"/>
      <c r="K149" s="157"/>
      <c r="L149" s="157"/>
      <c r="M149" s="157"/>
      <c r="N149" s="157"/>
    </row>
    <row r="150" spans="1:14" ht="18.75" customHeight="1" x14ac:dyDescent="0.25">
      <c r="A150" s="156"/>
      <c r="B150" s="157"/>
      <c r="C150" s="157"/>
      <c r="D150" s="157"/>
      <c r="E150" s="158"/>
      <c r="F150" s="157"/>
      <c r="G150" s="157"/>
      <c r="H150" s="157"/>
      <c r="I150" s="157"/>
      <c r="J150" s="156"/>
      <c r="K150" s="157"/>
      <c r="L150" s="157"/>
      <c r="M150" s="157"/>
      <c r="N150" s="157"/>
    </row>
    <row r="151" spans="1:14" ht="18.75" customHeight="1" x14ac:dyDescent="0.25">
      <c r="A151" s="156"/>
      <c r="B151" s="157"/>
      <c r="C151" s="157"/>
      <c r="D151" s="157"/>
      <c r="E151" s="158"/>
      <c r="F151" s="157"/>
      <c r="G151" s="157"/>
      <c r="H151" s="157"/>
      <c r="I151" s="157"/>
      <c r="J151" s="156"/>
      <c r="K151" s="157"/>
      <c r="L151" s="157"/>
      <c r="M151" s="157"/>
      <c r="N151" s="157"/>
    </row>
    <row r="152" spans="1:14" ht="18.75" customHeight="1" x14ac:dyDescent="0.25">
      <c r="A152" s="156"/>
      <c r="B152" s="157"/>
      <c r="C152" s="157"/>
      <c r="D152" s="157"/>
      <c r="E152" s="158"/>
      <c r="F152" s="157"/>
      <c r="G152" s="157"/>
      <c r="H152" s="157"/>
      <c r="I152" s="157"/>
      <c r="J152" s="156"/>
      <c r="K152" s="157"/>
      <c r="L152" s="157"/>
      <c r="M152" s="157"/>
      <c r="N152" s="157"/>
    </row>
    <row r="153" spans="1:14" ht="18.75" customHeight="1" x14ac:dyDescent="0.25">
      <c r="A153" s="156"/>
      <c r="B153" s="157"/>
      <c r="C153" s="157"/>
      <c r="D153" s="157"/>
      <c r="E153" s="158"/>
      <c r="F153" s="157"/>
      <c r="G153" s="157"/>
      <c r="H153" s="157"/>
      <c r="I153" s="157"/>
      <c r="J153" s="156"/>
      <c r="K153" s="157"/>
      <c r="L153" s="157"/>
      <c r="M153" s="157"/>
      <c r="N153" s="157"/>
    </row>
    <row r="154" spans="1:14" ht="18.75" customHeight="1" x14ac:dyDescent="0.25">
      <c r="A154" s="156"/>
      <c r="B154" s="157"/>
      <c r="C154" s="157"/>
      <c r="D154" s="157"/>
      <c r="E154" s="158"/>
      <c r="F154" s="157"/>
      <c r="G154" s="157"/>
      <c r="H154" s="157"/>
      <c r="I154" s="157"/>
      <c r="J154" s="156"/>
      <c r="K154" s="157"/>
      <c r="L154" s="157"/>
      <c r="M154" s="157"/>
      <c r="N154" s="157"/>
    </row>
    <row r="155" spans="1:14" ht="18.75" customHeight="1" x14ac:dyDescent="0.25">
      <c r="A155" s="156"/>
      <c r="B155" s="157"/>
      <c r="C155" s="157"/>
      <c r="D155" s="157"/>
      <c r="E155" s="158"/>
      <c r="F155" s="157"/>
      <c r="G155" s="157"/>
      <c r="H155" s="157"/>
      <c r="I155" s="157"/>
      <c r="J155" s="156"/>
      <c r="K155" s="157"/>
      <c r="L155" s="157"/>
      <c r="M155" s="157"/>
      <c r="N155" s="157"/>
    </row>
    <row r="156" spans="1:14" ht="18.75" customHeight="1" x14ac:dyDescent="0.25">
      <c r="A156" s="156"/>
      <c r="B156" s="157"/>
      <c r="C156" s="157"/>
      <c r="D156" s="157"/>
      <c r="E156" s="158"/>
      <c r="F156" s="157"/>
      <c r="G156" s="157"/>
      <c r="H156" s="157"/>
      <c r="I156" s="157"/>
      <c r="J156" s="156"/>
      <c r="K156" s="157"/>
      <c r="L156" s="157"/>
      <c r="M156" s="157"/>
      <c r="N156" s="157"/>
    </row>
    <row r="157" spans="1:14" ht="18.75" customHeight="1" x14ac:dyDescent="0.25">
      <c r="A157" s="156"/>
      <c r="B157" s="157"/>
      <c r="C157" s="157"/>
      <c r="D157" s="157"/>
      <c r="E157" s="158"/>
      <c r="F157" s="157"/>
      <c r="G157" s="157"/>
      <c r="H157" s="157"/>
      <c r="I157" s="157"/>
      <c r="J157" s="156"/>
      <c r="K157" s="157"/>
      <c r="L157" s="157"/>
      <c r="M157" s="157"/>
      <c r="N157" s="157"/>
    </row>
    <row r="158" spans="1:14" ht="18.75" customHeight="1" x14ac:dyDescent="0.25">
      <c r="A158" s="156"/>
      <c r="B158" s="157"/>
      <c r="C158" s="157"/>
      <c r="D158" s="157"/>
      <c r="E158" s="158"/>
      <c r="F158" s="157"/>
      <c r="G158" s="157"/>
      <c r="H158" s="157"/>
      <c r="I158" s="157"/>
      <c r="J158" s="156"/>
      <c r="K158" s="157"/>
      <c r="L158" s="157"/>
      <c r="M158" s="157"/>
      <c r="N158" s="157"/>
    </row>
    <row r="159" spans="1:14" ht="18.75" customHeight="1" x14ac:dyDescent="0.25">
      <c r="A159" s="156"/>
      <c r="B159" s="157"/>
      <c r="C159" s="157"/>
      <c r="D159" s="157"/>
      <c r="E159" s="158"/>
      <c r="F159" s="157"/>
      <c r="G159" s="157"/>
      <c r="H159" s="157"/>
      <c r="I159" s="157"/>
      <c r="J159" s="156"/>
      <c r="K159" s="157"/>
      <c r="L159" s="157"/>
      <c r="M159" s="157"/>
      <c r="N159" s="157"/>
    </row>
    <row r="160" spans="1:14" ht="18.75" customHeight="1" x14ac:dyDescent="0.25">
      <c r="A160" s="156"/>
      <c r="B160" s="157"/>
      <c r="C160" s="157"/>
      <c r="D160" s="157"/>
      <c r="E160" s="158"/>
      <c r="F160" s="157"/>
      <c r="G160" s="157"/>
      <c r="H160" s="157"/>
      <c r="I160" s="157"/>
      <c r="J160" s="156"/>
      <c r="K160" s="157"/>
      <c r="L160" s="157"/>
      <c r="M160" s="157"/>
      <c r="N160" s="157"/>
    </row>
    <row r="161" spans="1:14" ht="18.75" customHeight="1" x14ac:dyDescent="0.25">
      <c r="A161" s="156"/>
      <c r="B161" s="157"/>
      <c r="C161" s="157"/>
      <c r="D161" s="157"/>
      <c r="E161" s="158"/>
      <c r="F161" s="157"/>
      <c r="G161" s="157"/>
      <c r="H161" s="157"/>
      <c r="I161" s="157"/>
      <c r="J161" s="156"/>
      <c r="K161" s="157"/>
      <c r="L161" s="157"/>
      <c r="M161" s="157"/>
      <c r="N161" s="157"/>
    </row>
    <row r="162" spans="1:14" ht="18.75" customHeight="1" x14ac:dyDescent="0.25">
      <c r="A162" s="156"/>
      <c r="B162" s="157"/>
      <c r="C162" s="157"/>
      <c r="D162" s="157"/>
      <c r="E162" s="158"/>
      <c r="F162" s="157"/>
      <c r="G162" s="157"/>
      <c r="H162" s="157"/>
      <c r="I162" s="157"/>
      <c r="J162" s="156"/>
      <c r="K162" s="157"/>
      <c r="L162" s="157"/>
      <c r="M162" s="157"/>
      <c r="N162" s="157"/>
    </row>
    <row r="163" spans="1:14" ht="18.75" customHeight="1" x14ac:dyDescent="0.25">
      <c r="A163" s="156"/>
      <c r="B163" s="157"/>
      <c r="C163" s="157"/>
      <c r="D163" s="157"/>
      <c r="E163" s="158"/>
      <c r="F163" s="157"/>
      <c r="G163" s="157"/>
      <c r="H163" s="157"/>
      <c r="I163" s="157"/>
      <c r="J163" s="156"/>
      <c r="K163" s="157"/>
      <c r="L163" s="157"/>
      <c r="M163" s="157"/>
      <c r="N163" s="157"/>
    </row>
    <row r="164" spans="1:14" ht="18.75" customHeight="1" x14ac:dyDescent="0.25">
      <c r="A164" s="156"/>
      <c r="B164" s="157"/>
      <c r="C164" s="157"/>
      <c r="D164" s="157"/>
      <c r="E164" s="158"/>
      <c r="F164" s="157"/>
      <c r="G164" s="157"/>
      <c r="H164" s="157"/>
      <c r="I164" s="157"/>
      <c r="J164" s="156"/>
      <c r="K164" s="157"/>
      <c r="L164" s="157"/>
      <c r="M164" s="157"/>
      <c r="N164" s="157"/>
    </row>
    <row r="165" spans="1:14" ht="4.5" customHeight="1" x14ac:dyDescent="0.25">
      <c r="A165" s="105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</row>
    <row r="166" spans="1:14" ht="19.5" customHeight="1" x14ac:dyDescent="0.25">
      <c r="A166" s="150"/>
      <c r="B166" s="151"/>
      <c r="C166" s="151"/>
      <c r="D166" s="151"/>
      <c r="E166" s="151"/>
      <c r="F166" s="151"/>
      <c r="G166" s="151"/>
      <c r="H166" s="151"/>
      <c r="I166" s="151"/>
      <c r="J166" s="151"/>
      <c r="K166" s="151"/>
      <c r="L166" s="151"/>
      <c r="M166" s="151"/>
      <c r="N166" s="152"/>
    </row>
    <row r="167" spans="1:14" ht="18.75" customHeight="1" x14ac:dyDescent="0.25">
      <c r="A167" s="34"/>
      <c r="B167" s="35"/>
      <c r="C167" s="35"/>
      <c r="D167" s="35"/>
      <c r="E167" s="101"/>
      <c r="F167" s="35"/>
      <c r="G167" s="35"/>
      <c r="H167" s="35"/>
      <c r="I167" s="35"/>
      <c r="J167" s="34"/>
      <c r="K167" s="35"/>
      <c r="L167" s="35"/>
      <c r="M167" s="35"/>
      <c r="N167" s="35"/>
    </row>
    <row r="168" spans="1:14" ht="18.75" customHeight="1" x14ac:dyDescent="0.25">
      <c r="A168" s="153"/>
      <c r="B168" s="154"/>
      <c r="C168" s="154"/>
      <c r="D168" s="154"/>
      <c r="E168" s="172"/>
      <c r="F168" s="154"/>
      <c r="G168" s="154"/>
      <c r="H168" s="154"/>
      <c r="I168" s="154"/>
      <c r="J168" s="153"/>
      <c r="K168" s="154"/>
      <c r="L168" s="154"/>
      <c r="M168" s="154"/>
      <c r="N168" s="154"/>
    </row>
    <row r="169" spans="1:14" ht="18.75" customHeight="1" x14ac:dyDescent="0.25">
      <c r="A169" s="153"/>
      <c r="B169" s="154"/>
      <c r="C169" s="154"/>
      <c r="D169" s="154"/>
      <c r="E169" s="172"/>
      <c r="F169" s="154"/>
      <c r="G169" s="154"/>
      <c r="H169" s="154"/>
      <c r="I169" s="154"/>
      <c r="J169" s="153"/>
      <c r="K169" s="154"/>
      <c r="L169" s="154"/>
      <c r="M169" s="154"/>
      <c r="N169" s="154"/>
    </row>
    <row r="170" spans="1:14" ht="18.75" customHeight="1" x14ac:dyDescent="0.25">
      <c r="A170" s="153"/>
      <c r="B170" s="154"/>
      <c r="C170" s="154"/>
      <c r="D170" s="154"/>
      <c r="E170" s="172"/>
      <c r="F170" s="154"/>
      <c r="G170" s="154"/>
      <c r="H170" s="154"/>
      <c r="I170" s="154"/>
      <c r="J170" s="153"/>
      <c r="K170" s="154"/>
      <c r="L170" s="154"/>
      <c r="M170" s="154"/>
      <c r="N170" s="154"/>
    </row>
    <row r="171" spans="1:14" ht="18.75" customHeight="1" x14ac:dyDescent="0.25">
      <c r="A171" s="153"/>
      <c r="B171" s="154"/>
      <c r="C171" s="154"/>
      <c r="D171" s="154"/>
      <c r="E171" s="172"/>
      <c r="F171" s="154"/>
      <c r="G171" s="154"/>
      <c r="H171" s="154"/>
      <c r="I171" s="154"/>
      <c r="J171" s="153"/>
      <c r="K171" s="154"/>
      <c r="L171" s="154"/>
      <c r="M171" s="154"/>
      <c r="N171" s="154"/>
    </row>
    <row r="172" spans="1:14" ht="18.75" customHeight="1" x14ac:dyDescent="0.25">
      <c r="A172" s="153"/>
      <c r="B172" s="154"/>
      <c r="C172" s="154"/>
      <c r="D172" s="154"/>
      <c r="E172" s="172"/>
      <c r="F172" s="154"/>
      <c r="G172" s="154"/>
      <c r="H172" s="154"/>
      <c r="I172" s="154"/>
      <c r="J172" s="153"/>
      <c r="K172" s="154"/>
      <c r="L172" s="154"/>
      <c r="M172" s="154"/>
      <c r="N172" s="154"/>
    </row>
    <row r="173" spans="1:14" ht="18.75" customHeight="1" x14ac:dyDescent="0.25">
      <c r="A173" s="153"/>
      <c r="B173" s="154"/>
      <c r="C173" s="154"/>
      <c r="D173" s="154"/>
      <c r="E173" s="172"/>
      <c r="F173" s="154"/>
      <c r="G173" s="154"/>
      <c r="H173" s="154"/>
      <c r="I173" s="154"/>
      <c r="J173" s="153"/>
      <c r="K173" s="154"/>
      <c r="L173" s="154"/>
      <c r="M173" s="154"/>
      <c r="N173" s="154"/>
    </row>
    <row r="174" spans="1:14" ht="18.75" customHeight="1" x14ac:dyDescent="0.25">
      <c r="A174" s="153"/>
      <c r="B174" s="154"/>
      <c r="C174" s="154"/>
      <c r="D174" s="154"/>
      <c r="E174" s="172"/>
      <c r="F174" s="154"/>
      <c r="G174" s="154"/>
      <c r="H174" s="154"/>
      <c r="I174" s="154"/>
      <c r="J174" s="153"/>
      <c r="K174" s="154"/>
      <c r="L174" s="154"/>
      <c r="M174" s="154"/>
      <c r="N174" s="154"/>
    </row>
    <row r="175" spans="1:14" ht="18.75" customHeight="1" x14ac:dyDescent="0.25">
      <c r="A175" s="153"/>
      <c r="B175" s="154"/>
      <c r="C175" s="154"/>
      <c r="D175" s="154"/>
      <c r="E175" s="172"/>
      <c r="F175" s="154"/>
      <c r="G175" s="154"/>
      <c r="H175" s="154"/>
      <c r="I175" s="154"/>
      <c r="J175" s="153"/>
      <c r="K175" s="154"/>
      <c r="L175" s="154"/>
      <c r="M175" s="154"/>
      <c r="N175" s="154"/>
    </row>
    <row r="176" spans="1:14" ht="18.75" customHeight="1" x14ac:dyDescent="0.25">
      <c r="A176" s="153"/>
      <c r="B176" s="154"/>
      <c r="C176" s="154"/>
      <c r="D176" s="154"/>
      <c r="E176" s="172"/>
      <c r="F176" s="154"/>
      <c r="G176" s="154"/>
      <c r="H176" s="154"/>
      <c r="I176" s="154"/>
      <c r="J176" s="153"/>
      <c r="K176" s="154"/>
      <c r="L176" s="154"/>
      <c r="M176" s="154"/>
      <c r="N176" s="154"/>
    </row>
    <row r="177" spans="1:14" ht="18.75" customHeight="1" x14ac:dyDescent="0.25">
      <c r="A177" s="153"/>
      <c r="B177" s="154"/>
      <c r="C177" s="154"/>
      <c r="D177" s="154"/>
      <c r="E177" s="172"/>
      <c r="F177" s="154"/>
      <c r="G177" s="154"/>
      <c r="H177" s="154"/>
      <c r="I177" s="154"/>
      <c r="J177" s="153"/>
      <c r="K177" s="154"/>
      <c r="L177" s="154"/>
      <c r="M177" s="154"/>
      <c r="N177" s="154"/>
    </row>
    <row r="178" spans="1:14" ht="18.75" customHeight="1" x14ac:dyDescent="0.25">
      <c r="A178" s="153"/>
      <c r="B178" s="154"/>
      <c r="C178" s="154"/>
      <c r="D178" s="154"/>
      <c r="E178" s="172"/>
      <c r="F178" s="154"/>
      <c r="G178" s="154"/>
      <c r="H178" s="154"/>
      <c r="I178" s="154"/>
      <c r="J178" s="153"/>
      <c r="K178" s="154"/>
      <c r="L178" s="154"/>
      <c r="M178" s="154"/>
      <c r="N178" s="154"/>
    </row>
    <row r="179" spans="1:14" ht="18.75" customHeight="1" x14ac:dyDescent="0.25">
      <c r="A179" s="153"/>
      <c r="B179" s="154"/>
      <c r="C179" s="154"/>
      <c r="D179" s="154"/>
      <c r="E179" s="172"/>
      <c r="F179" s="154"/>
      <c r="G179" s="154"/>
      <c r="H179" s="154"/>
      <c r="I179" s="154"/>
      <c r="J179" s="153"/>
      <c r="K179" s="154"/>
      <c r="L179" s="154"/>
      <c r="M179" s="154"/>
      <c r="N179" s="154"/>
    </row>
    <row r="180" spans="1:14" ht="18.75" customHeight="1" x14ac:dyDescent="0.25">
      <c r="A180" s="153"/>
      <c r="B180" s="154"/>
      <c r="C180" s="154"/>
      <c r="D180" s="154"/>
      <c r="E180" s="172"/>
      <c r="F180" s="154"/>
      <c r="G180" s="154"/>
      <c r="H180" s="154"/>
      <c r="I180" s="154"/>
      <c r="J180" s="153"/>
      <c r="K180" s="154"/>
      <c r="L180" s="154"/>
      <c r="M180" s="154"/>
      <c r="N180" s="154"/>
    </row>
    <row r="181" spans="1:14" ht="18.75" customHeight="1" x14ac:dyDescent="0.25">
      <c r="A181" s="153"/>
      <c r="B181" s="154"/>
      <c r="C181" s="154"/>
      <c r="D181" s="154"/>
      <c r="E181" s="172"/>
      <c r="F181" s="154"/>
      <c r="G181" s="154"/>
      <c r="H181" s="154"/>
      <c r="I181" s="154"/>
      <c r="J181" s="153"/>
      <c r="K181" s="154"/>
      <c r="L181" s="154"/>
      <c r="M181" s="154"/>
      <c r="N181" s="154"/>
    </row>
    <row r="182" spans="1:14" ht="18.75" customHeight="1" x14ac:dyDescent="0.25">
      <c r="A182" s="153"/>
      <c r="B182" s="154"/>
      <c r="C182" s="154"/>
      <c r="D182" s="154"/>
      <c r="E182" s="172"/>
      <c r="F182" s="154"/>
      <c r="G182" s="154"/>
      <c r="H182" s="154"/>
      <c r="I182" s="154"/>
      <c r="J182" s="153"/>
      <c r="K182" s="154"/>
      <c r="L182" s="154"/>
      <c r="M182" s="154"/>
      <c r="N182" s="154"/>
    </row>
    <row r="183" spans="1:14" ht="18.75" customHeight="1" x14ac:dyDescent="0.25">
      <c r="A183" s="153"/>
      <c r="B183" s="154"/>
      <c r="C183" s="154"/>
      <c r="D183" s="154"/>
      <c r="E183" s="172"/>
      <c r="F183" s="154"/>
      <c r="G183" s="154"/>
      <c r="H183" s="154"/>
      <c r="I183" s="154"/>
      <c r="J183" s="153"/>
      <c r="K183" s="154"/>
      <c r="L183" s="154"/>
      <c r="M183" s="154"/>
      <c r="N183" s="154"/>
    </row>
    <row r="184" spans="1:14" ht="18.75" customHeight="1" x14ac:dyDescent="0.25">
      <c r="A184" s="153"/>
      <c r="B184" s="154"/>
      <c r="C184" s="154"/>
      <c r="D184" s="154"/>
      <c r="E184" s="172"/>
      <c r="F184" s="154"/>
      <c r="G184" s="154"/>
      <c r="H184" s="154"/>
      <c r="I184" s="154"/>
      <c r="J184" s="153"/>
      <c r="K184" s="154"/>
      <c r="L184" s="154"/>
      <c r="M184" s="154"/>
      <c r="N184" s="154"/>
    </row>
    <row r="185" spans="1:14" ht="18.75" customHeight="1" x14ac:dyDescent="0.25">
      <c r="A185" s="153"/>
      <c r="B185" s="154"/>
      <c r="C185" s="154"/>
      <c r="D185" s="154"/>
      <c r="E185" s="172"/>
      <c r="F185" s="154"/>
      <c r="G185" s="154"/>
      <c r="H185" s="154"/>
      <c r="I185" s="154"/>
      <c r="J185" s="153"/>
      <c r="K185" s="154"/>
      <c r="L185" s="154"/>
      <c r="M185" s="154"/>
      <c r="N185" s="154"/>
    </row>
    <row r="186" spans="1:14" ht="18.75" customHeight="1" x14ac:dyDescent="0.25">
      <c r="A186" s="153"/>
      <c r="B186" s="154"/>
      <c r="C186" s="154"/>
      <c r="D186" s="154"/>
      <c r="E186" s="172"/>
      <c r="F186" s="154"/>
      <c r="G186" s="154"/>
      <c r="H186" s="154"/>
      <c r="I186" s="154"/>
      <c r="J186" s="153"/>
      <c r="K186" s="154"/>
      <c r="L186" s="154"/>
      <c r="M186" s="154"/>
      <c r="N186" s="154"/>
    </row>
    <row r="187" spans="1:14" ht="18.75" customHeight="1" x14ac:dyDescent="0.25">
      <c r="A187" s="153"/>
      <c r="B187" s="154"/>
      <c r="C187" s="154"/>
      <c r="D187" s="154"/>
      <c r="E187" s="172"/>
      <c r="F187" s="154"/>
      <c r="G187" s="154"/>
      <c r="H187" s="154"/>
      <c r="I187" s="154"/>
      <c r="J187" s="153"/>
      <c r="K187" s="154"/>
      <c r="L187" s="154"/>
      <c r="M187" s="154"/>
      <c r="N187" s="154"/>
    </row>
    <row r="188" spans="1:14" ht="18.75" customHeight="1" x14ac:dyDescent="0.25">
      <c r="A188" s="153"/>
      <c r="B188" s="154"/>
      <c r="C188" s="154"/>
      <c r="D188" s="154"/>
      <c r="E188" s="172"/>
      <c r="F188" s="154"/>
      <c r="G188" s="154"/>
      <c r="H188" s="154"/>
      <c r="I188" s="154"/>
      <c r="J188" s="153"/>
      <c r="K188" s="154"/>
      <c r="L188" s="154"/>
      <c r="M188" s="154"/>
      <c r="N188" s="154"/>
    </row>
    <row r="189" spans="1:14" ht="18.75" customHeight="1" x14ac:dyDescent="0.25">
      <c r="A189" s="153"/>
      <c r="B189" s="154"/>
      <c r="C189" s="154"/>
      <c r="D189" s="154"/>
      <c r="E189" s="172"/>
      <c r="F189" s="154"/>
      <c r="G189" s="154"/>
      <c r="H189" s="154"/>
      <c r="I189" s="154"/>
      <c r="J189" s="153"/>
      <c r="K189" s="154"/>
      <c r="L189" s="154"/>
      <c r="M189" s="154"/>
      <c r="N189" s="154"/>
    </row>
    <row r="190" spans="1:14" ht="18.75" customHeight="1" x14ac:dyDescent="0.25">
      <c r="A190" s="153"/>
      <c r="B190" s="154"/>
      <c r="C190" s="154"/>
      <c r="D190" s="154"/>
      <c r="E190" s="172"/>
      <c r="F190" s="154"/>
      <c r="G190" s="154"/>
      <c r="H190" s="154"/>
      <c r="I190" s="154"/>
      <c r="J190" s="153"/>
      <c r="K190" s="154"/>
      <c r="L190" s="154"/>
      <c r="M190" s="154"/>
      <c r="N190" s="154"/>
    </row>
    <row r="191" spans="1:14" ht="18.75" customHeight="1" x14ac:dyDescent="0.25">
      <c r="A191" s="153"/>
      <c r="B191" s="154"/>
      <c r="C191" s="154"/>
      <c r="D191" s="154"/>
      <c r="E191" s="172"/>
      <c r="F191" s="154"/>
      <c r="G191" s="154"/>
      <c r="H191" s="154"/>
      <c r="I191" s="154"/>
      <c r="J191" s="153"/>
      <c r="K191" s="154"/>
      <c r="L191" s="154"/>
      <c r="M191" s="154"/>
      <c r="N191" s="154"/>
    </row>
    <row r="192" spans="1:14" ht="4.5" customHeight="1" x14ac:dyDescent="0.25">
      <c r="A192" s="105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</row>
    <row r="193" spans="1:14" ht="19.5" customHeight="1" x14ac:dyDescent="0.25">
      <c r="A193" s="150"/>
      <c r="B193" s="151"/>
      <c r="C193" s="151"/>
      <c r="D193" s="151"/>
      <c r="E193" s="151"/>
      <c r="F193" s="151"/>
      <c r="G193" s="151"/>
      <c r="H193" s="151"/>
      <c r="I193" s="151"/>
      <c r="J193" s="151"/>
      <c r="K193" s="151"/>
      <c r="L193" s="151"/>
      <c r="M193" s="151"/>
      <c r="N193" s="152"/>
    </row>
    <row r="194" spans="1:14" ht="18.75" customHeight="1" x14ac:dyDescent="0.25">
      <c r="A194" s="34"/>
      <c r="B194" s="35"/>
      <c r="C194" s="35"/>
      <c r="D194" s="35"/>
      <c r="E194" s="109"/>
      <c r="F194" s="35"/>
      <c r="G194" s="35"/>
      <c r="H194" s="35"/>
      <c r="I194" s="35"/>
      <c r="J194" s="34"/>
      <c r="K194" s="35"/>
      <c r="L194" s="35"/>
      <c r="M194" s="35"/>
      <c r="N194" s="35"/>
    </row>
    <row r="195" spans="1:14" ht="18.75" customHeight="1" x14ac:dyDescent="0.25">
      <c r="A195" s="156"/>
      <c r="B195" s="157"/>
      <c r="C195" s="157"/>
      <c r="D195" s="157"/>
      <c r="E195" s="158"/>
      <c r="F195" s="157"/>
      <c r="G195" s="157"/>
      <c r="H195" s="157"/>
      <c r="I195" s="157"/>
      <c r="J195" s="156"/>
      <c r="K195" s="157"/>
      <c r="L195" s="157"/>
      <c r="M195" s="157"/>
      <c r="N195" s="157"/>
    </row>
    <row r="196" spans="1:14" ht="18.75" customHeight="1" x14ac:dyDescent="0.25">
      <c r="A196" s="156"/>
      <c r="B196" s="157"/>
      <c r="C196" s="157"/>
      <c r="D196" s="157"/>
      <c r="E196" s="158"/>
      <c r="F196" s="157"/>
      <c r="G196" s="157"/>
      <c r="H196" s="157"/>
      <c r="I196" s="157"/>
      <c r="J196" s="156"/>
      <c r="K196" s="157"/>
      <c r="L196" s="157"/>
      <c r="M196" s="157"/>
      <c r="N196" s="157"/>
    </row>
    <row r="197" spans="1:14" ht="18.75" customHeight="1" x14ac:dyDescent="0.25">
      <c r="A197" s="156"/>
      <c r="B197" s="157"/>
      <c r="C197" s="157"/>
      <c r="D197" s="157"/>
      <c r="E197" s="158"/>
      <c r="F197" s="157"/>
      <c r="G197" s="157"/>
      <c r="H197" s="157"/>
      <c r="I197" s="157"/>
      <c r="J197" s="156"/>
      <c r="K197" s="157"/>
      <c r="L197" s="157"/>
      <c r="M197" s="157"/>
      <c r="N197" s="157"/>
    </row>
    <row r="198" spans="1:14" ht="18.75" customHeight="1" x14ac:dyDescent="0.25">
      <c r="A198" s="156"/>
      <c r="B198" s="157"/>
      <c r="C198" s="157"/>
      <c r="D198" s="157"/>
      <c r="E198" s="158"/>
      <c r="F198" s="157"/>
      <c r="G198" s="157"/>
      <c r="H198" s="157"/>
      <c r="I198" s="157"/>
      <c r="J198" s="156"/>
      <c r="K198" s="157"/>
      <c r="L198" s="157"/>
      <c r="M198" s="157"/>
      <c r="N198" s="157"/>
    </row>
    <row r="199" spans="1:14" ht="18.75" customHeight="1" x14ac:dyDescent="0.25">
      <c r="A199" s="156"/>
      <c r="B199" s="157"/>
      <c r="C199" s="157"/>
      <c r="D199" s="157"/>
      <c r="E199" s="158"/>
      <c r="F199" s="157"/>
      <c r="G199" s="157"/>
      <c r="H199" s="157"/>
      <c r="I199" s="157"/>
      <c r="J199" s="156"/>
      <c r="K199" s="157"/>
      <c r="L199" s="157"/>
      <c r="M199" s="157"/>
      <c r="N199" s="157"/>
    </row>
    <row r="200" spans="1:14" ht="18.75" customHeight="1" x14ac:dyDescent="0.25">
      <c r="A200" s="156"/>
      <c r="B200" s="157"/>
      <c r="C200" s="157"/>
      <c r="D200" s="157"/>
      <c r="E200" s="158"/>
      <c r="F200" s="157"/>
      <c r="G200" s="157"/>
      <c r="H200" s="157"/>
      <c r="I200" s="157"/>
      <c r="J200" s="156"/>
      <c r="K200" s="157"/>
      <c r="L200" s="157"/>
      <c r="M200" s="157"/>
      <c r="N200" s="157"/>
    </row>
    <row r="201" spans="1:14" ht="18.75" customHeight="1" x14ac:dyDescent="0.25">
      <c r="A201" s="156"/>
      <c r="B201" s="157"/>
      <c r="C201" s="157"/>
      <c r="D201" s="157"/>
      <c r="E201" s="158"/>
      <c r="F201" s="157"/>
      <c r="G201" s="157"/>
      <c r="H201" s="157"/>
      <c r="I201" s="157"/>
      <c r="J201" s="156"/>
      <c r="K201" s="157"/>
      <c r="L201" s="157"/>
      <c r="M201" s="157"/>
      <c r="N201" s="157"/>
    </row>
    <row r="202" spans="1:14" ht="18.75" customHeight="1" x14ac:dyDescent="0.25">
      <c r="A202" s="156"/>
      <c r="B202" s="157"/>
      <c r="C202" s="157"/>
      <c r="D202" s="157"/>
      <c r="E202" s="158"/>
      <c r="F202" s="157"/>
      <c r="G202" s="157"/>
      <c r="H202" s="157"/>
      <c r="I202" s="157"/>
      <c r="J202" s="156"/>
      <c r="K202" s="157"/>
      <c r="L202" s="157"/>
      <c r="M202" s="157"/>
      <c r="N202" s="157"/>
    </row>
    <row r="203" spans="1:14" ht="18.75" customHeight="1" x14ac:dyDescent="0.25">
      <c r="A203" s="156"/>
      <c r="B203" s="157"/>
      <c r="C203" s="157"/>
      <c r="D203" s="157"/>
      <c r="E203" s="158"/>
      <c r="F203" s="157"/>
      <c r="G203" s="157"/>
      <c r="H203" s="157"/>
      <c r="I203" s="157"/>
      <c r="J203" s="156"/>
      <c r="K203" s="157"/>
      <c r="L203" s="157"/>
      <c r="M203" s="157"/>
      <c r="N203" s="157"/>
    </row>
    <row r="204" spans="1:14" ht="18.75" customHeight="1" x14ac:dyDescent="0.25">
      <c r="A204" s="156"/>
      <c r="B204" s="157"/>
      <c r="C204" s="157"/>
      <c r="D204" s="157"/>
      <c r="E204" s="158"/>
      <c r="F204" s="157"/>
      <c r="G204" s="157"/>
      <c r="H204" s="157"/>
      <c r="I204" s="157"/>
      <c r="J204" s="156"/>
      <c r="K204" s="157"/>
      <c r="L204" s="157"/>
      <c r="M204" s="157"/>
      <c r="N204" s="157"/>
    </row>
    <row r="205" spans="1:14" ht="18.75" customHeight="1" x14ac:dyDescent="0.25">
      <c r="A205" s="156"/>
      <c r="B205" s="157"/>
      <c r="C205" s="157"/>
      <c r="D205" s="157"/>
      <c r="E205" s="158"/>
      <c r="F205" s="157"/>
      <c r="G205" s="157"/>
      <c r="H205" s="157"/>
      <c r="I205" s="157"/>
      <c r="J205" s="156"/>
      <c r="K205" s="157"/>
      <c r="L205" s="157"/>
      <c r="M205" s="157"/>
      <c r="N205" s="157"/>
    </row>
    <row r="206" spans="1:14" ht="18.75" customHeight="1" x14ac:dyDescent="0.25">
      <c r="A206" s="156"/>
      <c r="B206" s="157"/>
      <c r="C206" s="157"/>
      <c r="D206" s="157"/>
      <c r="E206" s="158"/>
      <c r="F206" s="157"/>
      <c r="G206" s="157"/>
      <c r="H206" s="157"/>
      <c r="I206" s="157"/>
      <c r="J206" s="156"/>
      <c r="K206" s="157"/>
      <c r="L206" s="157"/>
      <c r="M206" s="157"/>
      <c r="N206" s="157"/>
    </row>
    <row r="207" spans="1:14" ht="18.75" customHeight="1" x14ac:dyDescent="0.25">
      <c r="A207" s="156"/>
      <c r="B207" s="157"/>
      <c r="C207" s="157"/>
      <c r="D207" s="157"/>
      <c r="E207" s="158"/>
      <c r="F207" s="157"/>
      <c r="G207" s="157"/>
      <c r="H207" s="157"/>
      <c r="I207" s="157"/>
      <c r="J207" s="156"/>
      <c r="K207" s="157"/>
      <c r="L207" s="157"/>
      <c r="M207" s="157"/>
      <c r="N207" s="157"/>
    </row>
    <row r="208" spans="1:14" ht="18.75" customHeight="1" x14ac:dyDescent="0.25">
      <c r="A208" s="156"/>
      <c r="B208" s="157"/>
      <c r="C208" s="157"/>
      <c r="D208" s="157"/>
      <c r="E208" s="158"/>
      <c r="F208" s="157"/>
      <c r="G208" s="157"/>
      <c r="H208" s="157"/>
      <c r="I208" s="157"/>
      <c r="J208" s="156"/>
      <c r="K208" s="157"/>
      <c r="L208" s="157"/>
      <c r="M208" s="157"/>
      <c r="N208" s="157"/>
    </row>
    <row r="209" spans="1:14" ht="18.75" customHeight="1" x14ac:dyDescent="0.25">
      <c r="A209" s="156"/>
      <c r="B209" s="157"/>
      <c r="C209" s="157"/>
      <c r="D209" s="157"/>
      <c r="E209" s="158"/>
      <c r="F209" s="157"/>
      <c r="G209" s="157"/>
      <c r="H209" s="157"/>
      <c r="I209" s="157"/>
      <c r="J209" s="156"/>
      <c r="K209" s="157"/>
      <c r="L209" s="157"/>
      <c r="M209" s="157"/>
      <c r="N209" s="157"/>
    </row>
    <row r="210" spans="1:14" ht="18.75" customHeight="1" x14ac:dyDescent="0.25">
      <c r="A210" s="156"/>
      <c r="B210" s="157"/>
      <c r="C210" s="157"/>
      <c r="D210" s="157"/>
      <c r="E210" s="158"/>
      <c r="F210" s="157"/>
      <c r="G210" s="157"/>
      <c r="H210" s="157"/>
      <c r="I210" s="157"/>
      <c r="J210" s="156"/>
      <c r="K210" s="157"/>
      <c r="L210" s="157"/>
      <c r="M210" s="157"/>
      <c r="N210" s="157"/>
    </row>
    <row r="211" spans="1:14" ht="18.75" customHeight="1" x14ac:dyDescent="0.25">
      <c r="A211" s="156"/>
      <c r="B211" s="157"/>
      <c r="C211" s="157"/>
      <c r="D211" s="157"/>
      <c r="E211" s="158"/>
      <c r="F211" s="157"/>
      <c r="G211" s="157"/>
      <c r="H211" s="157"/>
      <c r="I211" s="157"/>
      <c r="J211" s="156"/>
      <c r="K211" s="157"/>
      <c r="L211" s="157"/>
      <c r="M211" s="157"/>
      <c r="N211" s="157"/>
    </row>
    <row r="212" spans="1:14" ht="18.75" customHeight="1" x14ac:dyDescent="0.25">
      <c r="A212" s="156"/>
      <c r="B212" s="157"/>
      <c r="C212" s="157"/>
      <c r="D212" s="157"/>
      <c r="E212" s="158"/>
      <c r="F212" s="157"/>
      <c r="G212" s="157"/>
      <c r="H212" s="157"/>
      <c r="I212" s="157"/>
      <c r="J212" s="156"/>
      <c r="K212" s="157"/>
      <c r="L212" s="157"/>
      <c r="M212" s="157"/>
      <c r="N212" s="157"/>
    </row>
    <row r="213" spans="1:14" ht="18.75" customHeight="1" x14ac:dyDescent="0.25">
      <c r="A213" s="156"/>
      <c r="B213" s="157"/>
      <c r="C213" s="157"/>
      <c r="D213" s="157"/>
      <c r="E213" s="158"/>
      <c r="F213" s="157"/>
      <c r="G213" s="157"/>
      <c r="H213" s="157"/>
      <c r="I213" s="157"/>
      <c r="J213" s="156"/>
      <c r="K213" s="157"/>
      <c r="L213" s="157"/>
      <c r="M213" s="157"/>
      <c r="N213" s="157"/>
    </row>
    <row r="214" spans="1:14" ht="18.75" customHeight="1" x14ac:dyDescent="0.25">
      <c r="A214" s="156"/>
      <c r="B214" s="157"/>
      <c r="C214" s="157"/>
      <c r="D214" s="157"/>
      <c r="E214" s="158"/>
      <c r="F214" s="157"/>
      <c r="G214" s="157"/>
      <c r="H214" s="157"/>
      <c r="I214" s="157"/>
      <c r="J214" s="156"/>
      <c r="K214" s="157"/>
      <c r="L214" s="157"/>
      <c r="M214" s="157"/>
      <c r="N214" s="157"/>
    </row>
    <row r="215" spans="1:14" ht="18.75" customHeight="1" x14ac:dyDescent="0.25">
      <c r="A215" s="156"/>
      <c r="B215" s="157"/>
      <c r="C215" s="157"/>
      <c r="D215" s="157"/>
      <c r="E215" s="158"/>
      <c r="F215" s="157"/>
      <c r="G215" s="157"/>
      <c r="H215" s="157"/>
      <c r="I215" s="157"/>
      <c r="J215" s="156"/>
      <c r="K215" s="157"/>
      <c r="L215" s="157"/>
      <c r="M215" s="157"/>
      <c r="N215" s="157"/>
    </row>
    <row r="216" spans="1:14" ht="18.75" customHeight="1" x14ac:dyDescent="0.25">
      <c r="A216" s="156"/>
      <c r="B216" s="157"/>
      <c r="C216" s="157"/>
      <c r="D216" s="157"/>
      <c r="E216" s="158"/>
      <c r="F216" s="157"/>
      <c r="G216" s="157"/>
      <c r="H216" s="157"/>
      <c r="I216" s="157"/>
      <c r="J216" s="156"/>
      <c r="K216" s="157"/>
      <c r="L216" s="157"/>
      <c r="M216" s="157"/>
      <c r="N216" s="157"/>
    </row>
    <row r="217" spans="1:14" ht="18.75" customHeight="1" x14ac:dyDescent="0.25">
      <c r="A217" s="156"/>
      <c r="B217" s="157"/>
      <c r="C217" s="157"/>
      <c r="D217" s="157"/>
      <c r="E217" s="158"/>
      <c r="F217" s="157"/>
      <c r="G217" s="157"/>
      <c r="H217" s="157"/>
      <c r="I217" s="157"/>
      <c r="J217" s="156"/>
      <c r="K217" s="157"/>
      <c r="L217" s="157"/>
      <c r="M217" s="157"/>
      <c r="N217" s="157"/>
    </row>
    <row r="218" spans="1:14" ht="18.75" customHeight="1" x14ac:dyDescent="0.25">
      <c r="A218" s="156"/>
      <c r="B218" s="157"/>
      <c r="C218" s="157"/>
      <c r="D218" s="157"/>
      <c r="E218" s="158"/>
      <c r="F218" s="157"/>
      <c r="G218" s="157"/>
      <c r="H218" s="157"/>
      <c r="I218" s="157"/>
      <c r="J218" s="156"/>
      <c r="K218" s="157"/>
      <c r="L218" s="157"/>
      <c r="M218" s="157"/>
      <c r="N218" s="157"/>
    </row>
    <row r="219" spans="1:14" ht="4.5" customHeight="1" x14ac:dyDescent="0.25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</row>
    <row r="221" spans="1:14" ht="25.5" customHeight="1" x14ac:dyDescent="0.25">
      <c r="A221" s="174"/>
    </row>
    <row r="222" spans="1:14" ht="31.5" customHeight="1" x14ac:dyDescent="0.25">
      <c r="A222" s="175"/>
      <c r="B222" s="175"/>
      <c r="C222" s="175"/>
      <c r="D222" s="175"/>
      <c r="E222" s="175"/>
      <c r="F222" s="175"/>
      <c r="G222" s="175"/>
      <c r="H222" s="175"/>
      <c r="I222" s="175"/>
      <c r="J222" s="175"/>
      <c r="K222" s="175"/>
      <c r="L222" s="175"/>
    </row>
    <row r="223" spans="1:14" ht="19.5" customHeight="1" x14ac:dyDescent="0.25">
      <c r="A223" s="153"/>
      <c r="B223" s="154"/>
      <c r="C223" s="154"/>
      <c r="D223" s="153"/>
      <c r="E223" s="153"/>
      <c r="F223" s="153"/>
      <c r="G223" s="153"/>
      <c r="H223" s="153"/>
      <c r="I223" s="153"/>
      <c r="J223" s="153"/>
      <c r="K223" s="153"/>
      <c r="L223" s="154"/>
    </row>
    <row r="224" spans="1:14" ht="19.5" customHeight="1" x14ac:dyDescent="0.25">
      <c r="A224" s="156"/>
      <c r="B224" s="157"/>
      <c r="C224" s="157"/>
      <c r="D224" s="156"/>
      <c r="E224" s="156"/>
      <c r="F224" s="156"/>
      <c r="G224" s="156"/>
      <c r="H224" s="156"/>
      <c r="I224" s="156"/>
      <c r="J224" s="156"/>
      <c r="K224" s="156"/>
      <c r="L224" s="157"/>
    </row>
    <row r="225" spans="1:12" ht="19.5" customHeight="1" x14ac:dyDescent="0.25">
      <c r="A225" s="153"/>
      <c r="B225" s="154"/>
      <c r="C225" s="154"/>
      <c r="D225" s="153"/>
      <c r="E225" s="153"/>
      <c r="F225" s="153"/>
      <c r="G225" s="153"/>
      <c r="H225" s="153"/>
      <c r="I225" s="153"/>
      <c r="J225" s="153"/>
      <c r="K225" s="153"/>
      <c r="L225" s="154"/>
    </row>
    <row r="226" spans="1:12" ht="19.5" customHeight="1" x14ac:dyDescent="0.25">
      <c r="A226" s="156"/>
      <c r="B226" s="157"/>
      <c r="C226" s="157"/>
      <c r="D226" s="156"/>
      <c r="E226" s="156"/>
      <c r="F226" s="156"/>
      <c r="G226" s="156"/>
      <c r="H226" s="156"/>
      <c r="I226" s="156"/>
      <c r="J226" s="156"/>
      <c r="K226" s="156"/>
      <c r="L226" s="157"/>
    </row>
    <row r="227" spans="1:12" ht="19.5" customHeight="1" x14ac:dyDescent="0.25">
      <c r="A227" s="153"/>
      <c r="B227" s="154"/>
      <c r="C227" s="154"/>
      <c r="D227" s="153"/>
      <c r="E227" s="153"/>
      <c r="F227" s="153"/>
      <c r="G227" s="153"/>
      <c r="H227" s="153"/>
      <c r="I227" s="153"/>
      <c r="J227" s="153"/>
      <c r="K227" s="153"/>
      <c r="L227" s="154"/>
    </row>
    <row r="228" spans="1:12" ht="19.5" customHeight="1" x14ac:dyDescent="0.25">
      <c r="A228" s="156"/>
      <c r="B228" s="157"/>
      <c r="C228" s="157"/>
      <c r="D228" s="156"/>
      <c r="E228" s="156"/>
      <c r="F228" s="156"/>
      <c r="G228" s="156"/>
      <c r="H228" s="156"/>
      <c r="I228" s="156"/>
      <c r="J228" s="156"/>
      <c r="K228" s="156"/>
      <c r="L228" s="157"/>
    </row>
    <row r="229" spans="1:12" ht="19.5" customHeight="1" x14ac:dyDescent="0.25">
      <c r="A229" s="153"/>
      <c r="B229" s="154"/>
      <c r="C229" s="154"/>
      <c r="D229" s="153"/>
      <c r="E229" s="153"/>
      <c r="F229" s="153"/>
      <c r="G229" s="153"/>
      <c r="H229" s="153"/>
      <c r="I229" s="153"/>
      <c r="J229" s="153"/>
      <c r="K229" s="153"/>
      <c r="L229" s="154"/>
    </row>
    <row r="230" spans="1:12" ht="19.5" customHeight="1" x14ac:dyDescent="0.25">
      <c r="A230" s="156"/>
      <c r="B230" s="157"/>
      <c r="C230" s="157"/>
      <c r="D230" s="156"/>
      <c r="E230" s="156"/>
      <c r="F230" s="156"/>
      <c r="G230" s="156"/>
      <c r="H230" s="156"/>
      <c r="I230" s="156"/>
      <c r="J230" s="156"/>
      <c r="K230" s="156"/>
      <c r="L230" s="157"/>
    </row>
  </sheetData>
  <mergeCells count="11">
    <mergeCell ref="A1:N1"/>
    <mergeCell ref="A2:N2"/>
    <mergeCell ref="A55:N55"/>
    <mergeCell ref="A4:N4"/>
    <mergeCell ref="A10:N10"/>
    <mergeCell ref="A16:N16"/>
    <mergeCell ref="A40:N40"/>
    <mergeCell ref="A46:N46"/>
    <mergeCell ref="A22:N22"/>
    <mergeCell ref="A28:N28"/>
    <mergeCell ref="A34:N34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H69"/>
  <sheetViews>
    <sheetView tabSelected="1" zoomScaleNormal="100" workbookViewId="0">
      <selection activeCell="K19" sqref="K19"/>
    </sheetView>
  </sheetViews>
  <sheetFormatPr defaultColWidth="8.7109375" defaultRowHeight="15" x14ac:dyDescent="0.25"/>
  <cols>
    <col min="1" max="1" width="25.7109375" customWidth="1"/>
    <col min="2" max="2" width="18.7109375" customWidth="1"/>
    <col min="3" max="3" width="9" customWidth="1"/>
    <col min="4" max="4" width="10.5703125" customWidth="1"/>
    <col min="5" max="5" width="9" customWidth="1"/>
    <col min="6" max="6" width="11.5703125" customWidth="1"/>
    <col min="7" max="10" width="9" customWidth="1"/>
    <col min="11" max="11" width="11.7109375" customWidth="1"/>
    <col min="12" max="14" width="9" customWidth="1"/>
    <col min="15" max="15" width="12.7109375" customWidth="1"/>
    <col min="16" max="17" width="9" customWidth="1"/>
    <col min="18" max="18" width="13.42578125" customWidth="1"/>
    <col min="19" max="19" width="9" customWidth="1"/>
    <col min="20" max="20" width="12.140625" customWidth="1"/>
    <col min="21" max="39" width="9" customWidth="1"/>
  </cols>
  <sheetData>
    <row r="1" spans="1:34" ht="39.75" customHeight="1" x14ac:dyDescent="0.25">
      <c r="A1" s="291" t="s">
        <v>860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7"/>
      <c r="AH1" s="237"/>
    </row>
    <row r="2" spans="1:34" ht="15.75" customHeight="1" x14ac:dyDescent="0.25">
      <c r="A2" s="236" t="s">
        <v>861</v>
      </c>
      <c r="B2" s="237"/>
      <c r="C2" s="237"/>
      <c r="D2" s="237"/>
      <c r="E2" s="237"/>
      <c r="F2" s="237"/>
      <c r="G2" s="237"/>
      <c r="H2" s="237"/>
      <c r="I2" s="237"/>
      <c r="J2" s="237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  <c r="AH2" s="237"/>
    </row>
    <row r="3" spans="1:34" ht="15" customHeight="1" x14ac:dyDescent="0.25">
      <c r="A3" s="290" t="s">
        <v>862</v>
      </c>
      <c r="B3" s="237"/>
      <c r="C3" s="237"/>
      <c r="D3" s="237"/>
      <c r="F3" s="290" t="s">
        <v>863</v>
      </c>
      <c r="G3" s="237"/>
      <c r="H3" s="237"/>
      <c r="I3" s="237"/>
      <c r="J3" s="237"/>
      <c r="K3" s="237"/>
      <c r="L3" s="237"/>
      <c r="M3" s="237"/>
      <c r="O3" s="290" t="s">
        <v>864</v>
      </c>
      <c r="P3" s="237"/>
      <c r="R3" s="290" t="s">
        <v>865</v>
      </c>
      <c r="S3" s="237"/>
      <c r="T3" s="237"/>
    </row>
    <row r="4" spans="1:34" ht="15" customHeight="1" x14ac:dyDescent="0.25">
      <c r="A4" s="176" t="s">
        <v>866</v>
      </c>
      <c r="B4" s="176" t="s">
        <v>599</v>
      </c>
      <c r="C4" s="176" t="s">
        <v>867</v>
      </c>
      <c r="D4" s="176" t="s">
        <v>321</v>
      </c>
      <c r="F4" s="176" t="s">
        <v>868</v>
      </c>
      <c r="G4" s="177" t="s">
        <v>633</v>
      </c>
      <c r="H4" s="177" t="s">
        <v>869</v>
      </c>
      <c r="I4" s="177" t="s">
        <v>635</v>
      </c>
      <c r="J4" s="177" t="s">
        <v>131</v>
      </c>
      <c r="K4" s="177" t="s">
        <v>636</v>
      </c>
      <c r="L4" s="177" t="s">
        <v>637</v>
      </c>
      <c r="O4" s="176" t="s">
        <v>321</v>
      </c>
      <c r="P4" s="176" t="s">
        <v>870</v>
      </c>
      <c r="R4" s="176" t="s">
        <v>599</v>
      </c>
      <c r="S4" s="176" t="s">
        <v>870</v>
      </c>
      <c r="T4" s="176" t="s">
        <v>871</v>
      </c>
    </row>
    <row r="5" spans="1:34" ht="15" customHeight="1" x14ac:dyDescent="0.25">
      <c r="A5" s="67" t="s">
        <v>363</v>
      </c>
      <c r="B5" s="66" t="s">
        <v>639</v>
      </c>
      <c r="C5" s="66">
        <v>20</v>
      </c>
      <c r="D5" s="68" t="s">
        <v>337</v>
      </c>
      <c r="F5" s="178" t="s">
        <v>872</v>
      </c>
      <c r="G5" s="179">
        <v>3</v>
      </c>
      <c r="H5" s="179">
        <v>6</v>
      </c>
      <c r="I5" s="179">
        <v>6</v>
      </c>
      <c r="J5" s="179">
        <v>19</v>
      </c>
      <c r="K5" s="179">
        <v>14</v>
      </c>
      <c r="L5" s="179">
        <v>14</v>
      </c>
      <c r="O5" s="180" t="s">
        <v>324</v>
      </c>
      <c r="P5" s="181">
        <v>0</v>
      </c>
      <c r="R5" s="182" t="s">
        <v>873</v>
      </c>
      <c r="S5" s="183">
        <v>1</v>
      </c>
      <c r="T5" s="183">
        <v>33.299999999999997</v>
      </c>
    </row>
    <row r="6" spans="1:34" ht="15" customHeight="1" x14ac:dyDescent="0.25">
      <c r="A6" s="6" t="s">
        <v>369</v>
      </c>
      <c r="B6" s="36" t="s">
        <v>640</v>
      </c>
      <c r="C6" s="36">
        <v>65</v>
      </c>
      <c r="D6" s="69" t="s">
        <v>331</v>
      </c>
      <c r="F6" s="184" t="s">
        <v>623</v>
      </c>
      <c r="G6" s="122">
        <v>2</v>
      </c>
      <c r="H6" s="122">
        <v>6</v>
      </c>
      <c r="I6" s="122">
        <v>6</v>
      </c>
      <c r="J6" s="122">
        <v>6</v>
      </c>
      <c r="K6" s="122">
        <v>8</v>
      </c>
      <c r="L6" s="122">
        <v>5</v>
      </c>
      <c r="O6" s="185" t="s">
        <v>328</v>
      </c>
      <c r="P6" s="181">
        <v>14</v>
      </c>
      <c r="R6" s="3" t="s">
        <v>874</v>
      </c>
      <c r="S6" s="37">
        <v>2</v>
      </c>
      <c r="T6" s="37">
        <v>62.5</v>
      </c>
    </row>
    <row r="7" spans="1:34" ht="15" customHeight="1" x14ac:dyDescent="0.25">
      <c r="A7" s="3" t="s">
        <v>374</v>
      </c>
      <c r="B7" s="37" t="s">
        <v>641</v>
      </c>
      <c r="C7" s="37">
        <v>27.5</v>
      </c>
      <c r="D7" s="70" t="s">
        <v>337</v>
      </c>
      <c r="O7" s="186" t="s">
        <v>331</v>
      </c>
      <c r="P7" s="181">
        <v>3</v>
      </c>
      <c r="R7" s="182" t="s">
        <v>875</v>
      </c>
      <c r="S7" s="183">
        <v>2</v>
      </c>
      <c r="T7" s="183">
        <v>66.7</v>
      </c>
    </row>
    <row r="8" spans="1:34" ht="15" customHeight="1" x14ac:dyDescent="0.25">
      <c r="A8" s="6" t="s">
        <v>379</v>
      </c>
      <c r="B8" s="36" t="s">
        <v>638</v>
      </c>
      <c r="C8" s="36">
        <v>82.5</v>
      </c>
      <c r="D8" s="69" t="s">
        <v>328</v>
      </c>
      <c r="O8" s="187" t="s">
        <v>334</v>
      </c>
      <c r="P8" s="181">
        <v>2</v>
      </c>
      <c r="R8" s="3" t="s">
        <v>876</v>
      </c>
      <c r="S8" s="37">
        <v>1</v>
      </c>
      <c r="T8" s="37">
        <v>75</v>
      </c>
    </row>
    <row r="9" spans="1:34" ht="15" customHeight="1" x14ac:dyDescent="0.25">
      <c r="A9" s="3" t="s">
        <v>383</v>
      </c>
      <c r="B9" s="37" t="s">
        <v>639</v>
      </c>
      <c r="C9" s="37">
        <v>57.5</v>
      </c>
      <c r="D9" s="70" t="s">
        <v>331</v>
      </c>
      <c r="O9" s="188" t="s">
        <v>337</v>
      </c>
      <c r="P9" s="181">
        <v>6</v>
      </c>
      <c r="R9" s="182" t="s">
        <v>877</v>
      </c>
      <c r="S9" s="183">
        <v>1</v>
      </c>
      <c r="T9" s="183">
        <v>41.7</v>
      </c>
    </row>
    <row r="10" spans="1:34" ht="15" customHeight="1" x14ac:dyDescent="0.25">
      <c r="A10" s="6" t="s">
        <v>387</v>
      </c>
      <c r="B10" s="36" t="s">
        <v>640</v>
      </c>
      <c r="C10" s="36">
        <v>60</v>
      </c>
      <c r="D10" s="71" t="s">
        <v>331</v>
      </c>
      <c r="R10" s="3" t="s">
        <v>878</v>
      </c>
      <c r="S10" s="37">
        <v>4</v>
      </c>
      <c r="T10" s="37">
        <v>58.3</v>
      </c>
    </row>
    <row r="11" spans="1:34" ht="15" customHeight="1" x14ac:dyDescent="0.25">
      <c r="A11" s="3" t="s">
        <v>391</v>
      </c>
      <c r="B11" s="37" t="s">
        <v>642</v>
      </c>
      <c r="C11" s="37">
        <v>72.5</v>
      </c>
      <c r="D11" s="72" t="s">
        <v>328</v>
      </c>
      <c r="R11" s="182" t="s">
        <v>879</v>
      </c>
      <c r="S11" s="183">
        <v>1</v>
      </c>
      <c r="T11" s="183">
        <v>66.7</v>
      </c>
    </row>
    <row r="12" spans="1:34" ht="15" customHeight="1" x14ac:dyDescent="0.25">
      <c r="A12" s="6" t="s">
        <v>395</v>
      </c>
      <c r="B12" s="36" t="s">
        <v>638</v>
      </c>
      <c r="C12" s="36">
        <v>92.5</v>
      </c>
      <c r="D12" s="69" t="s">
        <v>324</v>
      </c>
      <c r="R12" s="3" t="s">
        <v>880</v>
      </c>
      <c r="S12" s="37">
        <v>4</v>
      </c>
      <c r="T12" s="37">
        <v>37.5</v>
      </c>
    </row>
    <row r="13" spans="1:34" ht="15" customHeight="1" x14ac:dyDescent="0.25">
      <c r="A13" s="3" t="s">
        <v>399</v>
      </c>
      <c r="B13" s="37" t="s">
        <v>639</v>
      </c>
      <c r="C13" s="37">
        <v>65</v>
      </c>
      <c r="D13" s="70" t="s">
        <v>331</v>
      </c>
      <c r="R13" s="182" t="s">
        <v>881</v>
      </c>
      <c r="S13" s="183">
        <v>1</v>
      </c>
      <c r="T13" s="183">
        <v>50</v>
      </c>
    </row>
    <row r="14" spans="1:34" ht="15" customHeight="1" x14ac:dyDescent="0.25">
      <c r="A14" s="6" t="s">
        <v>402</v>
      </c>
      <c r="B14" s="36" t="s">
        <v>641</v>
      </c>
      <c r="C14" s="36">
        <v>5</v>
      </c>
      <c r="D14" s="73" t="s">
        <v>337</v>
      </c>
      <c r="R14" s="3" t="s">
        <v>882</v>
      </c>
      <c r="S14" s="37">
        <v>1</v>
      </c>
      <c r="T14" s="37">
        <v>41.7</v>
      </c>
    </row>
    <row r="15" spans="1:34" ht="15" customHeight="1" x14ac:dyDescent="0.25">
      <c r="A15" s="3" t="s">
        <v>406</v>
      </c>
      <c r="B15" s="37" t="s">
        <v>638</v>
      </c>
      <c r="C15" s="37">
        <v>70</v>
      </c>
      <c r="D15" s="72" t="s">
        <v>328</v>
      </c>
      <c r="R15" s="182" t="s">
        <v>883</v>
      </c>
      <c r="S15" s="183">
        <v>2</v>
      </c>
      <c r="T15" s="183">
        <v>50</v>
      </c>
    </row>
    <row r="16" spans="1:34" ht="15" customHeight="1" x14ac:dyDescent="0.25">
      <c r="A16" s="6" t="s">
        <v>409</v>
      </c>
      <c r="B16" s="36" t="s">
        <v>643</v>
      </c>
      <c r="C16" s="36">
        <v>70</v>
      </c>
      <c r="D16" s="73" t="s">
        <v>328</v>
      </c>
      <c r="R16" s="3" t="s">
        <v>884</v>
      </c>
      <c r="S16" s="37">
        <v>2</v>
      </c>
      <c r="T16" s="37">
        <v>75</v>
      </c>
    </row>
    <row r="17" spans="1:20" ht="15" customHeight="1" x14ac:dyDescent="0.25">
      <c r="A17" s="3" t="s">
        <v>415</v>
      </c>
      <c r="B17" s="37" t="s">
        <v>643</v>
      </c>
      <c r="C17" s="37">
        <v>15</v>
      </c>
      <c r="D17" s="72" t="s">
        <v>337</v>
      </c>
      <c r="R17" s="182" t="s">
        <v>885</v>
      </c>
      <c r="S17" s="183">
        <v>1</v>
      </c>
      <c r="T17" s="183">
        <v>25</v>
      </c>
    </row>
    <row r="18" spans="1:20" ht="15" customHeight="1" x14ac:dyDescent="0.25">
      <c r="A18" s="6" t="s">
        <v>418</v>
      </c>
      <c r="B18" s="36" t="s">
        <v>643</v>
      </c>
      <c r="C18" s="36">
        <v>70</v>
      </c>
      <c r="D18" s="69" t="s">
        <v>328</v>
      </c>
      <c r="R18" s="3" t="s">
        <v>886</v>
      </c>
      <c r="S18" s="37">
        <v>1</v>
      </c>
      <c r="T18" s="37">
        <v>41.7</v>
      </c>
    </row>
    <row r="19" spans="1:20" ht="15" customHeight="1" x14ac:dyDescent="0.25">
      <c r="A19" s="3" t="s">
        <v>423</v>
      </c>
      <c r="B19" s="37" t="s">
        <v>643</v>
      </c>
      <c r="C19" s="37">
        <v>25</v>
      </c>
      <c r="D19" s="72" t="s">
        <v>337</v>
      </c>
      <c r="R19" s="182" t="s">
        <v>887</v>
      </c>
      <c r="S19" s="183">
        <v>1</v>
      </c>
      <c r="T19" s="183">
        <v>41.7</v>
      </c>
    </row>
    <row r="20" spans="1:20" ht="15" customHeight="1" x14ac:dyDescent="0.25">
      <c r="A20" s="6" t="s">
        <v>427</v>
      </c>
      <c r="B20" s="36" t="s">
        <v>643</v>
      </c>
      <c r="C20" s="36">
        <v>70</v>
      </c>
      <c r="D20" s="9" t="s">
        <v>328</v>
      </c>
    </row>
    <row r="21" spans="1:20" ht="15" customHeight="1" x14ac:dyDescent="0.25">
      <c r="A21" s="6" t="s">
        <v>431</v>
      </c>
      <c r="B21" s="36" t="s">
        <v>643</v>
      </c>
      <c r="C21" s="36">
        <v>42.5</v>
      </c>
      <c r="D21" s="69" t="s">
        <v>334</v>
      </c>
    </row>
    <row r="22" spans="1:20" ht="15" customHeight="1" x14ac:dyDescent="0.25">
      <c r="A22" s="3" t="s">
        <v>434</v>
      </c>
      <c r="B22" s="37" t="s">
        <v>643</v>
      </c>
      <c r="C22" s="37">
        <v>70</v>
      </c>
      <c r="D22" s="72" t="s">
        <v>328</v>
      </c>
    </row>
    <row r="23" spans="1:20" ht="15" customHeight="1" x14ac:dyDescent="0.25">
      <c r="A23" s="6" t="s">
        <v>438</v>
      </c>
      <c r="B23" s="36" t="s">
        <v>643</v>
      </c>
      <c r="C23" s="36">
        <v>70</v>
      </c>
      <c r="D23" s="69" t="s">
        <v>328</v>
      </c>
    </row>
    <row r="24" spans="1:20" ht="15" customHeight="1" x14ac:dyDescent="0.25">
      <c r="A24" s="3" t="s">
        <v>442</v>
      </c>
      <c r="B24" s="37" t="s">
        <v>643</v>
      </c>
      <c r="C24" s="37">
        <v>72.5</v>
      </c>
      <c r="D24" s="70" t="s">
        <v>328</v>
      </c>
    </row>
    <row r="25" spans="1:20" ht="15" customHeight="1" x14ac:dyDescent="0.25">
      <c r="A25" s="6" t="s">
        <v>445</v>
      </c>
      <c r="B25" s="36" t="s">
        <v>643</v>
      </c>
      <c r="C25" s="36">
        <v>22.5</v>
      </c>
      <c r="D25" s="71" t="s">
        <v>337</v>
      </c>
    </row>
    <row r="26" spans="1:20" ht="15" customHeight="1" x14ac:dyDescent="0.25">
      <c r="A26" s="3" t="s">
        <v>449</v>
      </c>
      <c r="B26" s="37" t="s">
        <v>643</v>
      </c>
      <c r="C26" s="37">
        <v>22.5</v>
      </c>
      <c r="D26" s="72" t="s">
        <v>337</v>
      </c>
    </row>
    <row r="27" spans="1:20" ht="15" customHeight="1" x14ac:dyDescent="0.25">
      <c r="A27" s="6" t="s">
        <v>453</v>
      </c>
      <c r="B27" s="36" t="s">
        <v>643</v>
      </c>
      <c r="C27" s="36">
        <v>75</v>
      </c>
      <c r="D27" s="9" t="s">
        <v>328</v>
      </c>
    </row>
    <row r="28" spans="1:20" ht="15" customHeight="1" x14ac:dyDescent="0.25">
      <c r="A28" s="3" t="s">
        <v>457</v>
      </c>
      <c r="B28" s="37" t="s">
        <v>643</v>
      </c>
      <c r="C28" s="37">
        <v>25</v>
      </c>
      <c r="D28" s="8" t="s">
        <v>337</v>
      </c>
    </row>
    <row r="36" spans="1:8" ht="15" customHeight="1" x14ac:dyDescent="0.25">
      <c r="A36" s="290" t="s">
        <v>888</v>
      </c>
      <c r="B36" s="237"/>
      <c r="C36" s="237"/>
      <c r="D36" s="237"/>
      <c r="E36" s="237"/>
      <c r="F36" s="237"/>
      <c r="G36" s="237"/>
      <c r="H36" s="237"/>
    </row>
    <row r="37" spans="1:8" ht="24" customHeight="1" x14ac:dyDescent="0.25">
      <c r="A37" s="189" t="s">
        <v>345</v>
      </c>
      <c r="B37" s="189" t="s">
        <v>870</v>
      </c>
      <c r="C37" s="189" t="s">
        <v>633</v>
      </c>
      <c r="D37" s="189" t="s">
        <v>869</v>
      </c>
      <c r="E37" s="189" t="s">
        <v>635</v>
      </c>
      <c r="F37" s="189" t="s">
        <v>131</v>
      </c>
      <c r="G37" s="189" t="s">
        <v>636</v>
      </c>
      <c r="H37" s="189" t="s">
        <v>637</v>
      </c>
    </row>
    <row r="38" spans="1:8" ht="15" customHeight="1" x14ac:dyDescent="0.25">
      <c r="A38" s="190" t="s">
        <v>122</v>
      </c>
      <c r="B38" s="183">
        <v>0</v>
      </c>
      <c r="C38" s="191">
        <v>0</v>
      </c>
      <c r="D38" s="191">
        <v>0</v>
      </c>
      <c r="E38" s="191">
        <v>0</v>
      </c>
      <c r="F38" s="191">
        <v>0</v>
      </c>
      <c r="G38" s="191">
        <v>0</v>
      </c>
      <c r="H38" s="191">
        <v>0</v>
      </c>
    </row>
    <row r="39" spans="1:8" ht="15" customHeight="1" x14ac:dyDescent="0.25">
      <c r="A39" s="192" t="s">
        <v>889</v>
      </c>
      <c r="B39" s="183">
        <v>3</v>
      </c>
      <c r="C39" s="191">
        <v>0</v>
      </c>
      <c r="D39" s="191">
        <v>0</v>
      </c>
      <c r="E39" s="191">
        <v>0</v>
      </c>
      <c r="F39" s="106">
        <v>1</v>
      </c>
      <c r="G39" s="106">
        <v>2</v>
      </c>
      <c r="H39" s="191">
        <v>0</v>
      </c>
    </row>
    <row r="40" spans="1:8" ht="15" customHeight="1" x14ac:dyDescent="0.25">
      <c r="A40" s="193" t="s">
        <v>355</v>
      </c>
      <c r="B40" s="183">
        <v>14</v>
      </c>
      <c r="C40" s="106">
        <v>3</v>
      </c>
      <c r="D40" s="106">
        <v>6</v>
      </c>
      <c r="E40" s="106">
        <v>6</v>
      </c>
      <c r="F40" s="106">
        <v>10</v>
      </c>
      <c r="G40" s="106">
        <v>5</v>
      </c>
      <c r="H40" s="106">
        <v>6</v>
      </c>
    </row>
    <row r="41" spans="1:8" ht="15" customHeight="1" x14ac:dyDescent="0.25">
      <c r="A41" s="194" t="s">
        <v>890</v>
      </c>
      <c r="B41" s="183">
        <v>0</v>
      </c>
      <c r="C41" s="191">
        <v>0</v>
      </c>
      <c r="D41" s="191">
        <v>0</v>
      </c>
      <c r="E41" s="191">
        <v>0</v>
      </c>
      <c r="F41" s="191">
        <v>0</v>
      </c>
      <c r="G41" s="191">
        <v>0</v>
      </c>
      <c r="H41" s="191">
        <v>0</v>
      </c>
    </row>
    <row r="42" spans="1:8" ht="15" customHeight="1" x14ac:dyDescent="0.25">
      <c r="A42" s="195" t="s">
        <v>411</v>
      </c>
      <c r="B42" s="183">
        <v>8</v>
      </c>
      <c r="C42" s="191">
        <v>0</v>
      </c>
      <c r="D42" s="191">
        <v>0</v>
      </c>
      <c r="E42" s="191">
        <v>0</v>
      </c>
      <c r="F42" s="106">
        <v>8</v>
      </c>
      <c r="G42" s="106">
        <v>7</v>
      </c>
      <c r="H42" s="106">
        <v>8</v>
      </c>
    </row>
    <row r="44" spans="1:8" ht="15" customHeight="1" x14ac:dyDescent="0.25">
      <c r="A44" s="176" t="s">
        <v>891</v>
      </c>
      <c r="B44" s="176" t="s">
        <v>892</v>
      </c>
    </row>
    <row r="45" spans="1:8" ht="15" customHeight="1" x14ac:dyDescent="0.25">
      <c r="A45" s="196">
        <v>1</v>
      </c>
      <c r="B45" s="196">
        <v>12</v>
      </c>
    </row>
    <row r="46" spans="1:8" ht="15" customHeight="1" x14ac:dyDescent="0.25">
      <c r="A46" s="197">
        <v>2</v>
      </c>
      <c r="B46" s="197">
        <v>15</v>
      </c>
    </row>
    <row r="47" spans="1:8" ht="15" customHeight="1" x14ac:dyDescent="0.25">
      <c r="A47" s="196">
        <v>3</v>
      </c>
      <c r="B47" s="196">
        <v>22</v>
      </c>
    </row>
    <row r="48" spans="1:8" ht="15" customHeight="1" x14ac:dyDescent="0.25">
      <c r="A48" s="197">
        <v>4</v>
      </c>
      <c r="B48" s="197">
        <v>22</v>
      </c>
    </row>
    <row r="49" spans="1:2" ht="15" customHeight="1" x14ac:dyDescent="0.25">
      <c r="A49" s="196">
        <v>5</v>
      </c>
      <c r="B49" s="196">
        <v>25</v>
      </c>
    </row>
    <row r="50" spans="1:2" ht="15" customHeight="1" x14ac:dyDescent="0.25">
      <c r="A50" s="197">
        <v>6</v>
      </c>
      <c r="B50" s="197">
        <v>25</v>
      </c>
    </row>
    <row r="51" spans="1:2" ht="15" customHeight="1" x14ac:dyDescent="0.25">
      <c r="A51" s="196">
        <v>7</v>
      </c>
      <c r="B51" s="196">
        <v>40</v>
      </c>
    </row>
    <row r="52" spans="1:2" ht="15" customHeight="1" x14ac:dyDescent="0.25">
      <c r="A52" s="197">
        <v>8</v>
      </c>
      <c r="B52" s="197">
        <v>42</v>
      </c>
    </row>
    <row r="53" spans="1:2" ht="15" customHeight="1" x14ac:dyDescent="0.25">
      <c r="A53" s="196">
        <v>9</v>
      </c>
      <c r="B53" s="196">
        <v>55</v>
      </c>
    </row>
    <row r="54" spans="1:2" ht="15" customHeight="1" x14ac:dyDescent="0.25">
      <c r="A54" s="197">
        <v>10</v>
      </c>
      <c r="B54" s="197">
        <v>58</v>
      </c>
    </row>
    <row r="55" spans="1:2" ht="15" customHeight="1" x14ac:dyDescent="0.25">
      <c r="A55" s="196">
        <v>11</v>
      </c>
      <c r="B55" s="196">
        <v>60</v>
      </c>
    </row>
    <row r="56" spans="1:2" ht="15" customHeight="1" x14ac:dyDescent="0.25">
      <c r="A56" s="197">
        <v>12</v>
      </c>
      <c r="B56" s="197">
        <v>70</v>
      </c>
    </row>
    <row r="57" spans="1:2" ht="15" customHeight="1" x14ac:dyDescent="0.25">
      <c r="A57" s="196">
        <v>13</v>
      </c>
      <c r="B57" s="196">
        <v>70</v>
      </c>
    </row>
    <row r="58" spans="1:2" ht="15" customHeight="1" x14ac:dyDescent="0.25">
      <c r="A58" s="197">
        <v>14</v>
      </c>
      <c r="B58" s="197">
        <v>70</v>
      </c>
    </row>
    <row r="59" spans="1:2" ht="15" customHeight="1" x14ac:dyDescent="0.25">
      <c r="A59" s="196">
        <v>15</v>
      </c>
      <c r="B59" s="196">
        <v>70</v>
      </c>
    </row>
    <row r="60" spans="1:2" ht="15" customHeight="1" x14ac:dyDescent="0.25">
      <c r="A60" s="197">
        <v>16</v>
      </c>
      <c r="B60" s="197">
        <v>70</v>
      </c>
    </row>
    <row r="61" spans="1:2" ht="15" customHeight="1" x14ac:dyDescent="0.25">
      <c r="A61" s="196">
        <v>17</v>
      </c>
      <c r="B61" s="196">
        <v>70</v>
      </c>
    </row>
    <row r="62" spans="1:2" ht="15" customHeight="1" x14ac:dyDescent="0.25">
      <c r="A62" s="197">
        <v>18</v>
      </c>
      <c r="B62" s="197">
        <v>70</v>
      </c>
    </row>
    <row r="63" spans="1:2" ht="15" customHeight="1" x14ac:dyDescent="0.25">
      <c r="A63" s="196">
        <v>19</v>
      </c>
      <c r="B63" s="196">
        <v>70</v>
      </c>
    </row>
    <row r="64" spans="1:2" ht="15" customHeight="1" x14ac:dyDescent="0.25">
      <c r="A64" s="197">
        <v>20</v>
      </c>
      <c r="B64" s="197">
        <v>70</v>
      </c>
    </row>
    <row r="65" spans="1:2" ht="15" customHeight="1" x14ac:dyDescent="0.25">
      <c r="A65" s="196">
        <v>21</v>
      </c>
      <c r="B65" s="196">
        <v>72</v>
      </c>
    </row>
    <row r="66" spans="1:2" ht="15" customHeight="1" x14ac:dyDescent="0.25">
      <c r="A66" s="197">
        <v>22</v>
      </c>
      <c r="B66" s="197">
        <v>75</v>
      </c>
    </row>
    <row r="67" spans="1:2" ht="15" customHeight="1" x14ac:dyDescent="0.25">
      <c r="A67" s="196">
        <v>23</v>
      </c>
      <c r="B67" s="196">
        <v>82</v>
      </c>
    </row>
    <row r="68" spans="1:2" ht="15" customHeight="1" x14ac:dyDescent="0.25">
      <c r="A68" s="197">
        <v>24</v>
      </c>
      <c r="B68" s="197">
        <v>82</v>
      </c>
    </row>
    <row r="69" spans="1:2" ht="15" customHeight="1" x14ac:dyDescent="0.25">
      <c r="A69" s="196">
        <v>25</v>
      </c>
      <c r="B69" s="196">
        <v>82</v>
      </c>
    </row>
  </sheetData>
  <mergeCells count="7">
    <mergeCell ref="A36:H36"/>
    <mergeCell ref="A1:AH1"/>
    <mergeCell ref="O3:P3"/>
    <mergeCell ref="R3:T3"/>
    <mergeCell ref="F3:M3"/>
    <mergeCell ref="A2:AH2"/>
    <mergeCell ref="A3:D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📋 Instructions</vt:lpstr>
      <vt:lpstr>🗂️ Attack_Master_Index</vt:lpstr>
      <vt:lpstr>📡 Network_Inventory</vt:lpstr>
      <vt:lpstr>🔴 Raw_Attack_Data</vt:lpstr>
      <vt:lpstr>🟡 Single_AP_Deep_Dive</vt:lpstr>
      <vt:lpstr>📊 Scoring_Calculator</vt:lpstr>
      <vt:lpstr>📈 Comparison_Analysis</vt:lpstr>
      <vt:lpstr>📉 Charts_Dashboard</vt:lpstr>
      <vt:lpstr>🔐 WPA_WPA2_WPA3_Attacks</vt:lpstr>
      <vt:lpstr>👹 Evil_Twin_Attacks</vt:lpstr>
      <vt:lpstr>🎣 Phishing_Portal_Attacks</vt:lpstr>
      <vt:lpstr>🕵️ MITM_Attacks</vt:lpstr>
      <vt:lpstr>💥 DoS_Attacks</vt:lpstr>
      <vt:lpstr>📶 Bluetooth_Attacks</vt:lpstr>
      <vt:lpstr>🔌 Wired_Network_Attacks</vt:lpstr>
      <vt:lpstr>📊 Security_Charts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W.M.Himash jayasinghe</cp:lastModifiedBy>
  <cp:revision>2</cp:revision>
  <dcterms:created xsi:type="dcterms:W3CDTF">2026-06-04T07:08:45Z</dcterms:created>
  <dcterms:modified xsi:type="dcterms:W3CDTF">2026-06-09T13:27:55Z</dcterms:modified>
  <dc:language>en-US</dc:language>
</cp:coreProperties>
</file>